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B64A94CA-4461-4162-92AF-568558EAC5AA}" xr6:coauthVersionLast="47" xr6:coauthVersionMax="47" xr10:uidLastSave="{00000000-0000-0000-0000-000000000000}"/>
  <bookViews>
    <workbookView xWindow="-120" yWindow="-120" windowWidth="20730" windowHeight="11160" activeTab="3" xr2:uid="{B4EAAC5A-ED74-46DA-AA9D-45E487DA032F}"/>
  </bookViews>
  <sheets>
    <sheet name="Raw Data" sheetId="1" r:id="rId1"/>
    <sheet name="Cleaned Data" sheetId="2" r:id="rId2"/>
    <sheet name="Pivot Analysis" sheetId="3" r:id="rId3"/>
    <sheet name="Dashboard" sheetId="4" r:id="rId4"/>
  </sheets>
  <definedNames>
    <definedName name="_xlchart.v1.0" hidden="1">'Cleaned Data'!$D$2:$D$258</definedName>
    <definedName name="_xlchart.v1.1" hidden="1">'Cleaned Data'!$I$2:$I$258</definedName>
    <definedName name="_xlchart.v1.2" hidden="1">'Cleaned Data'!$D$2:$D$258</definedName>
    <definedName name="_xlchart.v1.3" hidden="1">'Cleaned Data'!$I$2:$I$258</definedName>
    <definedName name="NativeTimeline_Date">#N/A</definedName>
    <definedName name="Slicer_Payment_Method">#N/A</definedName>
    <definedName name="Slicer_Product">#N/A</definedName>
    <definedName name="Slicer_Purchase_Type">#N/A</definedName>
  </definedNames>
  <calcPr calcId="191029"/>
  <pivotCaches>
    <pivotCache cacheId="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 i="2" l="1"/>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 i="2"/>
</calcChain>
</file>

<file path=xl/sharedStrings.xml><?xml version="1.0" encoding="utf-8"?>
<sst xmlns="http://schemas.openxmlformats.org/spreadsheetml/2006/main" count="2660" uniqueCount="62">
  <si>
    <t>Order ID</t>
  </si>
  <si>
    <t>Date</t>
  </si>
  <si>
    <t>Product</t>
  </si>
  <si>
    <t>Price</t>
  </si>
  <si>
    <t>Quantity</t>
  </si>
  <si>
    <t>Purchase Type</t>
  </si>
  <si>
    <t>Payment Method</t>
  </si>
  <si>
    <t>Manager</t>
  </si>
  <si>
    <t>City</t>
  </si>
  <si>
    <t>Fries</t>
  </si>
  <si>
    <t xml:space="preserve">Online </t>
  </si>
  <si>
    <t xml:space="preserve"> Gift Card</t>
  </si>
  <si>
    <t>Tom      Jackson</t>
  </si>
  <si>
    <t>London</t>
  </si>
  <si>
    <t>Beverages</t>
  </si>
  <si>
    <t xml:space="preserve">       Pablo Perez</t>
  </si>
  <si>
    <t>Madrid</t>
  </si>
  <si>
    <t>Sides &amp; Other</t>
  </si>
  <si>
    <t xml:space="preserve">In-store </t>
  </si>
  <si>
    <t>Joao    Silva</t>
  </si>
  <si>
    <t>Lisbon</t>
  </si>
  <si>
    <t>Burgers</t>
  </si>
  <si>
    <t xml:space="preserve"> Credit Card</t>
  </si>
  <si>
    <t>Walter Muller</t>
  </si>
  <si>
    <t>Berlin</t>
  </si>
  <si>
    <t>Chicken Sandwiches</t>
  </si>
  <si>
    <t>Remy    Monet</t>
  </si>
  <si>
    <t>Paris</t>
  </si>
  <si>
    <t>Remy Monet</t>
  </si>
  <si>
    <t xml:space="preserve">       Remy Monet</t>
  </si>
  <si>
    <t>Remy     Monet</t>
  </si>
  <si>
    <t>Pablo Perez</t>
  </si>
  <si>
    <t>Pablo   Perez</t>
  </si>
  <si>
    <t>Pablo  Perez</t>
  </si>
  <si>
    <t>Pablo    Perez</t>
  </si>
  <si>
    <t>Joao Silva</t>
  </si>
  <si>
    <t xml:space="preserve">Drive-thru </t>
  </si>
  <si>
    <t xml:space="preserve"> Cash</t>
  </si>
  <si>
    <t>Tom Jackson</t>
  </si>
  <si>
    <t>Mean</t>
  </si>
  <si>
    <t>Standard Error</t>
  </si>
  <si>
    <t>Median</t>
  </si>
  <si>
    <t>Mode</t>
  </si>
  <si>
    <t>Standard Deviation</t>
  </si>
  <si>
    <t>Sample Variance</t>
  </si>
  <si>
    <t>Kurtosis</t>
  </si>
  <si>
    <t>Skewness</t>
  </si>
  <si>
    <t>Range</t>
  </si>
  <si>
    <t>Minimum</t>
  </si>
  <si>
    <t>Maximum</t>
  </si>
  <si>
    <t>Sum</t>
  </si>
  <si>
    <t>Count</t>
  </si>
  <si>
    <t>Revenue</t>
  </si>
  <si>
    <t>Analysis Questions</t>
  </si>
  <si>
    <t>1. What is our best selling Product?</t>
  </si>
  <si>
    <t>2. What is our total Revenue?</t>
  </si>
  <si>
    <t>3. What is the Revenue breakdown by payment method?</t>
  </si>
  <si>
    <t>Row Labels</t>
  </si>
  <si>
    <t>Grand Total</t>
  </si>
  <si>
    <t>Sum of Revenue</t>
  </si>
  <si>
    <t>Sum of Quantity</t>
  </si>
  <si>
    <t>Nov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</si>
</sst>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2"/>
      <color theme="0"/>
      <name val="Calibri"/>
      <family val="2"/>
      <scheme val="minor"/>
    </font>
    <font>
      <sz val="12"/>
      <color rgb="FF000000"/>
      <name val="Calibri"/>
      <family val="2"/>
      <scheme val="minor"/>
    </font>
    <font>
      <i/>
      <sz val="11"/>
      <color theme="1"/>
      <name val="Calibri"/>
      <family val="2"/>
      <scheme val="minor"/>
    </font>
    <font>
      <b/>
      <sz val="11"/>
      <color rgb="FF0070C0"/>
      <name val="Calibri"/>
      <family val="2"/>
      <scheme val="minor"/>
    </font>
  </fonts>
  <fills count="3">
    <fill>
      <patternFill patternType="none"/>
    </fill>
    <fill>
      <patternFill patternType="gray125"/>
    </fill>
    <fill>
      <patternFill patternType="solid">
        <fgColor rgb="FF073673"/>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18">
    <xf numFmtId="0" fontId="0" fillId="0" borderId="0" xfId="0"/>
    <xf numFmtId="0" fontId="1" fillId="2" borderId="0" xfId="0" applyFont="1" applyFill="1" applyAlignment="1">
      <alignment horizontal="center" vertical="center"/>
    </xf>
    <xf numFmtId="0" fontId="1" fillId="2" borderId="0" xfId="0" applyFont="1" applyFill="1" applyAlignment="1">
      <alignment horizontal="center" vertical="center" wrapText="1"/>
    </xf>
    <xf numFmtId="0" fontId="0" fillId="0" borderId="0" xfId="0" applyAlignment="1">
      <alignment horizontal="center"/>
    </xf>
    <xf numFmtId="14" fontId="0" fillId="0" borderId="0" xfId="0" applyNumberFormat="1" applyAlignment="1">
      <alignment horizontal="left"/>
    </xf>
    <xf numFmtId="2" fontId="0" fillId="0" borderId="0" xfId="0" applyNumberFormat="1" applyAlignment="1">
      <alignment horizontal="center"/>
    </xf>
    <xf numFmtId="0" fontId="2" fillId="0" borderId="0" xfId="0" applyFont="1"/>
    <xf numFmtId="0" fontId="0" fillId="0" borderId="0" xfId="0" applyNumberFormat="1" applyAlignment="1">
      <alignment horizontal="center"/>
    </xf>
    <xf numFmtId="0" fontId="1" fillId="2" borderId="0" xfId="0" applyNumberFormat="1" applyFont="1" applyFill="1" applyAlignment="1">
      <alignment horizontal="center" vertical="center"/>
    </xf>
    <xf numFmtId="0" fontId="0" fillId="0" borderId="0" xfId="0" applyNumberFormat="1"/>
    <xf numFmtId="0" fontId="0" fillId="0" borderId="0" xfId="0" applyFill="1" applyBorder="1" applyAlignment="1"/>
    <xf numFmtId="0" fontId="0" fillId="0" borderId="1" xfId="0" applyFill="1" applyBorder="1" applyAlignment="1"/>
    <xf numFmtId="0" fontId="3" fillId="0" borderId="2" xfId="0" applyFont="1" applyFill="1" applyBorder="1" applyAlignment="1">
      <alignment horizontal="centerContinuous"/>
    </xf>
    <xf numFmtId="0" fontId="0" fillId="0" borderId="0" xfId="0" applyAlignment="1">
      <alignment horizontal="center"/>
    </xf>
    <xf numFmtId="0" fontId="4" fillId="0" borderId="0" xfId="0" applyFont="1" applyAlignment="1">
      <alignment horizontal="center"/>
    </xf>
    <xf numFmtId="0" fontId="0" fillId="0" borderId="0" xfId="0" pivotButton="1"/>
    <xf numFmtId="0" fontId="0" fillId="0" borderId="0" xfId="0" applyAlignment="1">
      <alignment horizontal="left"/>
    </xf>
    <xf numFmtId="10" fontId="0" fillId="0" borderId="0" xfId="0" applyNumberFormat="1"/>
  </cellXfs>
  <cellStyles count="1">
    <cellStyle name="Normal" xfId="0" builtinId="0"/>
  </cellStyles>
  <dxfs count="8">
    <dxf>
      <font>
        <b/>
        <i val="0"/>
        <strike val="0"/>
        <condense val="0"/>
        <extend val="0"/>
        <outline val="0"/>
        <shadow val="0"/>
        <u val="none"/>
        <vertAlign val="baseline"/>
        <sz val="12"/>
        <color theme="0"/>
        <name val="Calibri"/>
        <family val="2"/>
        <scheme val="minor"/>
      </font>
      <fill>
        <patternFill patternType="solid">
          <fgColor indexed="64"/>
          <bgColor rgb="FF073673"/>
        </patternFill>
      </fill>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yyyy/mm/dd"/>
      <alignment horizontal="left"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[Simple_Sales_Performance_Analysis.xlsx]Pivot Analysis!PivotTable1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Product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Analysis'!$B$8</c:f>
              <c:strCache>
                <c:ptCount val="1"/>
                <c:pt idx="0">
                  <c:v>Total</c:v>
                </c:pt>
              </c:strCache>
            </c:strRef>
          </c:tx>
          <c:spPr>
            <a:solidFill>
              <a:schemeClr val="accent1"/>
            </a:solidFill>
            <a:ln>
              <a:noFill/>
            </a:ln>
            <a:effectLst/>
          </c:spPr>
          <c:invertIfNegative val="0"/>
          <c:cat>
            <c:strRef>
              <c:f>'Pivot Analysis'!$A$9:$A$10</c:f>
              <c:strCache>
                <c:ptCount val="1"/>
                <c:pt idx="0">
                  <c:v>Chicken Sandwiches</c:v>
                </c:pt>
              </c:strCache>
            </c:strRef>
          </c:cat>
          <c:val>
            <c:numRef>
              <c:f>'Pivot Analysis'!$B$9:$B$10</c:f>
              <c:numCache>
                <c:formatCode>General</c:formatCode>
                <c:ptCount val="1"/>
                <c:pt idx="0">
                  <c:v>36016.600000000006</c:v>
                </c:pt>
              </c:numCache>
            </c:numRef>
          </c:val>
          <c:extLst>
            <c:ext xmlns:c16="http://schemas.microsoft.com/office/drawing/2014/chart" uri="{C3380CC4-5D6E-409C-BE32-E72D297353CC}">
              <c16:uniqueId val="{00000000-CE04-4367-A94C-F84C3BA42849}"/>
            </c:ext>
          </c:extLst>
        </c:ser>
        <c:dLbls>
          <c:showLegendKey val="0"/>
          <c:showVal val="0"/>
          <c:showCatName val="0"/>
          <c:showSerName val="0"/>
          <c:showPercent val="0"/>
          <c:showBubbleSize val="0"/>
        </c:dLbls>
        <c:gapWidth val="219"/>
        <c:overlap val="-27"/>
        <c:axId val="1736109440"/>
        <c:axId val="1736098400"/>
      </c:barChart>
      <c:catAx>
        <c:axId val="1736109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098400"/>
        <c:crosses val="autoZero"/>
        <c:auto val="1"/>
        <c:lblAlgn val="ctr"/>
        <c:lblOffset val="100"/>
        <c:noMultiLvlLbl val="0"/>
      </c:catAx>
      <c:valAx>
        <c:axId val="1736098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109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[Simple_Sales_Performance_Analysis.xlsx]Pivot Analysis!PivotTable3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
            </a:r>
            <a:r>
              <a:rPr lang="en-US" baseline="0"/>
              <a:t> Revenue by Payment Method</a:t>
            </a:r>
            <a:endParaRPr lang="en-US"/>
          </a:p>
        </c:rich>
      </c:tx>
      <c:layout>
        <c:manualLayout>
          <c:xMode val="edge"/>
          <c:yMode val="edge"/>
          <c:x val="0.16556933508311461"/>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Analysis'!$G$8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822-411A-A5FC-1040C0A4072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822-411A-A5FC-1040C0A4072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822-411A-A5FC-1040C0A4072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Analysis'!$F$9:$F$10</c:f>
              <c:strCache>
                <c:ptCount val="1"/>
                <c:pt idx="0">
                  <c:v> Credit Card</c:v>
                </c:pt>
              </c:strCache>
            </c:strRef>
          </c:cat>
          <c:val>
            <c:numRef>
              <c:f>'Pivot Analysis'!$G$9:$G$10</c:f>
              <c:numCache>
                <c:formatCode>0.00%</c:formatCode>
                <c:ptCount val="1"/>
                <c:pt idx="0">
                  <c:v>1</c:v>
                </c:pt>
              </c:numCache>
            </c:numRef>
          </c:val>
          <c:extLst>
            <c:ext xmlns:c16="http://schemas.microsoft.com/office/drawing/2014/chart" uri="{C3380CC4-5D6E-409C-BE32-E72D297353CC}">
              <c16:uniqueId val="{00000006-A822-411A-A5FC-1040C0A4072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333333333333333"/>
          <c:y val="0.45535797608632256"/>
          <c:w val="0.21666666666666665"/>
          <c:h val="0.301642971711869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[Simple_Sales_Performance_Analysis.xlsx]Pivot Analysis!PivotTable5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2">
                <a:lumMod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lumMod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Analysis'!$E$15</c:f>
              <c:strCache>
                <c:ptCount val="1"/>
                <c:pt idx="0">
                  <c:v>Total</c:v>
                </c:pt>
              </c:strCache>
            </c:strRef>
          </c:tx>
          <c:spPr>
            <a:ln w="28575" cap="rnd">
              <a:solidFill>
                <a:schemeClr val="accent2">
                  <a:lumMod val="50000"/>
                </a:schemeClr>
              </a:solidFill>
              <a:round/>
            </a:ln>
            <a:effectLst/>
          </c:spPr>
          <c:marker>
            <c:symbol val="circle"/>
            <c:size val="5"/>
            <c:spPr>
              <a:solidFill>
                <a:schemeClr val="accent1"/>
              </a:solidFill>
              <a:ln w="9525">
                <a:solidFill>
                  <a:schemeClr val="accent1"/>
                </a:solidFill>
              </a:ln>
              <a:effectLst/>
            </c:spPr>
          </c:marker>
          <c:cat>
            <c:strRef>
              <c:f>'Pivot Analysis'!$D$16:$D$17</c:f>
              <c:strCache>
                <c:ptCount val="1"/>
                <c:pt idx="0">
                  <c:v>Nov</c:v>
                </c:pt>
              </c:strCache>
            </c:strRef>
          </c:cat>
          <c:val>
            <c:numRef>
              <c:f>'Pivot Analysis'!$E$16:$E$17</c:f>
              <c:numCache>
                <c:formatCode>General</c:formatCode>
                <c:ptCount val="1"/>
                <c:pt idx="0">
                  <c:v>36016.600000000006</c:v>
                </c:pt>
              </c:numCache>
            </c:numRef>
          </c:val>
          <c:smooth val="0"/>
          <c:extLst>
            <c:ext xmlns:c16="http://schemas.microsoft.com/office/drawing/2014/chart" uri="{C3380CC4-5D6E-409C-BE32-E72D297353CC}">
              <c16:uniqueId val="{00000000-8DFF-4096-9BC0-9D7DA83E93C2}"/>
            </c:ext>
          </c:extLst>
        </c:ser>
        <c:dLbls>
          <c:showLegendKey val="0"/>
          <c:showVal val="0"/>
          <c:showCatName val="0"/>
          <c:showSerName val="0"/>
          <c:showPercent val="0"/>
          <c:showBubbleSize val="0"/>
        </c:dLbls>
        <c:marker val="1"/>
        <c:smooth val="0"/>
        <c:axId val="1736114720"/>
        <c:axId val="1736108000"/>
      </c:lineChart>
      <c:catAx>
        <c:axId val="173611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108000"/>
        <c:crosses val="autoZero"/>
        <c:auto val="1"/>
        <c:lblAlgn val="ctr"/>
        <c:lblOffset val="100"/>
        <c:noMultiLvlLbl val="0"/>
      </c:catAx>
      <c:valAx>
        <c:axId val="1736108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114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_xlchart.v1.1</cx:f>
      </cx:strDim>
      <cx:numDim type="val">
        <cx:f>_xlchart.v1.0</cx:f>
      </cx:numDim>
    </cx:data>
  </cx:chartData>
  <cx:chart>
    <cx:title pos="t" align="ctr" overlay="0">
      <cx:tx>
        <cx:rich>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Calibri" panose="020F0502020204030204"/>
            </a:endParaRPr>
          </a:p>
          <a:p>
            <a:pPr algn="ctr" rtl="0">
              <a:defRPr/>
            </a:pPr>
            <a:r>
              <a:rPr lang="en-US" sz="1400" b="0" i="0" u="none" strike="noStrike" baseline="0">
                <a:solidFill>
                  <a:sysClr val="windowText" lastClr="000000">
                    <a:lumMod val="65000"/>
                    <a:lumOff val="35000"/>
                  </a:sysClr>
                </a:solidFill>
                <a:latin typeface="Calibri" panose="020F0502020204030204"/>
              </a:rPr>
              <a:t>Price Outliners by Managers</a:t>
            </a:r>
          </a:p>
          <a:p>
            <a:pPr algn="ctr" rtl="0">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boxWhisker" uniqueId="{E97E5492-8627-4516-9C89-50B515809DE2}">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11</xdr:col>
      <xdr:colOff>0</xdr:colOff>
      <xdr:row>18</xdr:row>
      <xdr:rowOff>38100</xdr:rowOff>
    </xdr:from>
    <xdr:to>
      <xdr:col>16</xdr:col>
      <xdr:colOff>323850</xdr:colOff>
      <xdr:row>32</xdr:row>
      <xdr:rowOff>123825</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31718EBD-C673-4D38-9153-C4E7056EDF4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772525" y="3495675"/>
              <a:ext cx="4572000" cy="27527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19050</xdr:colOff>
      <xdr:row>4</xdr:row>
      <xdr:rowOff>171450</xdr:rowOff>
    </xdr:to>
    <xdr:grpSp>
      <xdr:nvGrpSpPr>
        <xdr:cNvPr id="4" name="Group 3">
          <a:extLst>
            <a:ext uri="{FF2B5EF4-FFF2-40B4-BE49-F238E27FC236}">
              <a16:creationId xmlns:a16="http://schemas.microsoft.com/office/drawing/2014/main" id="{982F0CE4-F281-0C97-04A5-A7CC8C7DCD1E}"/>
            </a:ext>
          </a:extLst>
        </xdr:cNvPr>
        <xdr:cNvGrpSpPr/>
      </xdr:nvGrpSpPr>
      <xdr:grpSpPr>
        <a:xfrm>
          <a:off x="0" y="0"/>
          <a:ext cx="10382250" cy="933450"/>
          <a:chOff x="47625" y="28575"/>
          <a:chExt cx="9077325" cy="933450"/>
        </a:xfrm>
      </xdr:grpSpPr>
      <xdr:sp macro="" textlink="">
        <xdr:nvSpPr>
          <xdr:cNvPr id="2" name="Rectangle: Rounded Corners 1">
            <a:extLst>
              <a:ext uri="{FF2B5EF4-FFF2-40B4-BE49-F238E27FC236}">
                <a16:creationId xmlns:a16="http://schemas.microsoft.com/office/drawing/2014/main" id="{652A736C-009E-6132-43A9-DB906CB7649E}"/>
              </a:ext>
            </a:extLst>
          </xdr:cNvPr>
          <xdr:cNvSpPr/>
        </xdr:nvSpPr>
        <xdr:spPr>
          <a:xfrm>
            <a:off x="47625" y="28575"/>
            <a:ext cx="9077325" cy="933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TextBox 2">
            <a:extLst>
              <a:ext uri="{FF2B5EF4-FFF2-40B4-BE49-F238E27FC236}">
                <a16:creationId xmlns:a16="http://schemas.microsoft.com/office/drawing/2014/main" id="{609D09E6-F984-6788-3E23-DEEAE801EC24}"/>
              </a:ext>
            </a:extLst>
          </xdr:cNvPr>
          <xdr:cNvSpPr txBox="1"/>
        </xdr:nvSpPr>
        <xdr:spPr>
          <a:xfrm>
            <a:off x="438150" y="333375"/>
            <a:ext cx="8229600" cy="390525"/>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SALES PERFORMANCE DASHBOARD</a:t>
            </a:r>
          </a:p>
        </xdr:txBody>
      </xdr:sp>
    </xdr:grpSp>
    <xdr:clientData/>
  </xdr:twoCellAnchor>
  <xdr:twoCellAnchor editAs="oneCell">
    <xdr:from>
      <xdr:col>0</xdr:col>
      <xdr:colOff>104775</xdr:colOff>
      <xdr:row>15</xdr:row>
      <xdr:rowOff>171449</xdr:rowOff>
    </xdr:from>
    <xdr:to>
      <xdr:col>3</xdr:col>
      <xdr:colOff>104775</xdr:colOff>
      <xdr:row>23</xdr:row>
      <xdr:rowOff>161924</xdr:rowOff>
    </xdr:to>
    <mc:AlternateContent xmlns:mc="http://schemas.openxmlformats.org/markup-compatibility/2006">
      <mc:Choice xmlns:a14="http://schemas.microsoft.com/office/drawing/2010/main" Requires="a14">
        <xdr:graphicFrame macro="">
          <xdr:nvGraphicFramePr>
            <xdr:cNvPr id="5" name="Product">
              <a:extLst>
                <a:ext uri="{FF2B5EF4-FFF2-40B4-BE49-F238E27FC236}">
                  <a16:creationId xmlns:a16="http://schemas.microsoft.com/office/drawing/2014/main" id="{C774544D-7C3B-41DD-8585-69A85DE0192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04775" y="3028949"/>
              <a:ext cx="1828800" cy="1514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10</xdr:row>
      <xdr:rowOff>85725</xdr:rowOff>
    </xdr:from>
    <xdr:to>
      <xdr:col>3</xdr:col>
      <xdr:colOff>95250</xdr:colOff>
      <xdr:row>15</xdr:row>
      <xdr:rowOff>152399</xdr:rowOff>
    </xdr:to>
    <mc:AlternateContent xmlns:mc="http://schemas.openxmlformats.org/markup-compatibility/2006">
      <mc:Choice xmlns:a14="http://schemas.microsoft.com/office/drawing/2010/main" Requires="a14">
        <xdr:graphicFrame macro="">
          <xdr:nvGraphicFramePr>
            <xdr:cNvPr id="6" name="Purchase Type">
              <a:extLst>
                <a:ext uri="{FF2B5EF4-FFF2-40B4-BE49-F238E27FC236}">
                  <a16:creationId xmlns:a16="http://schemas.microsoft.com/office/drawing/2014/main" id="{169CF3EF-9CA0-42BD-ABBC-DF7AB463BC0A}"/>
                </a:ext>
              </a:extLst>
            </xdr:cNvPr>
            <xdr:cNvGraphicFramePr/>
          </xdr:nvGraphicFramePr>
          <xdr:xfrm>
            <a:off x="0" y="0"/>
            <a:ext cx="0" cy="0"/>
          </xdr:xfrm>
          <a:graphic>
            <a:graphicData uri="http://schemas.microsoft.com/office/drawing/2010/slicer">
              <sle:slicer xmlns:sle="http://schemas.microsoft.com/office/drawing/2010/slicer" name="Purchase Type"/>
            </a:graphicData>
          </a:graphic>
        </xdr:graphicFrame>
      </mc:Choice>
      <mc:Fallback>
        <xdr:sp macro="" textlink="">
          <xdr:nvSpPr>
            <xdr:cNvPr id="0" name=""/>
            <xdr:cNvSpPr>
              <a:spLocks noTextEdit="1"/>
            </xdr:cNvSpPr>
          </xdr:nvSpPr>
          <xdr:spPr>
            <a:xfrm>
              <a:off x="95250" y="1990725"/>
              <a:ext cx="1828800" cy="10191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85725</xdr:colOff>
      <xdr:row>5</xdr:row>
      <xdr:rowOff>19050</xdr:rowOff>
    </xdr:from>
    <xdr:to>
      <xdr:col>3</xdr:col>
      <xdr:colOff>85725</xdr:colOff>
      <xdr:row>10</xdr:row>
      <xdr:rowOff>76199</xdr:rowOff>
    </xdr:to>
    <mc:AlternateContent xmlns:mc="http://schemas.openxmlformats.org/markup-compatibility/2006">
      <mc:Choice xmlns:a14="http://schemas.microsoft.com/office/drawing/2010/main" Requires="a14">
        <xdr:graphicFrame macro="">
          <xdr:nvGraphicFramePr>
            <xdr:cNvPr id="7" name="Payment Method">
              <a:extLst>
                <a:ext uri="{FF2B5EF4-FFF2-40B4-BE49-F238E27FC236}">
                  <a16:creationId xmlns:a16="http://schemas.microsoft.com/office/drawing/2014/main" id="{F6D6701B-5751-41A7-941A-9FE174C10B2E}"/>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85725" y="971550"/>
              <a:ext cx="1828800" cy="10096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200025</xdr:colOff>
      <xdr:row>5</xdr:row>
      <xdr:rowOff>28574</xdr:rowOff>
    </xdr:from>
    <xdr:to>
      <xdr:col>9</xdr:col>
      <xdr:colOff>161925</xdr:colOff>
      <xdr:row>11</xdr:row>
      <xdr:rowOff>133349</xdr:rowOff>
    </xdr:to>
    <mc:AlternateContent xmlns:mc="http://schemas.openxmlformats.org/markup-compatibility/2006">
      <mc:Choice xmlns:tsle="http://schemas.microsoft.com/office/drawing/2012/timeslicer" Requires="tsle">
        <xdr:graphicFrame macro="">
          <xdr:nvGraphicFramePr>
            <xdr:cNvPr id="10" name="Date">
              <a:extLst>
                <a:ext uri="{FF2B5EF4-FFF2-40B4-BE49-F238E27FC236}">
                  <a16:creationId xmlns:a16="http://schemas.microsoft.com/office/drawing/2014/main" id="{69FB1AAD-3687-4FCE-BB5E-F935B3205D8F}"/>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2028825" y="981074"/>
              <a:ext cx="3619500" cy="124777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9</xdr:col>
      <xdr:colOff>295275</xdr:colOff>
      <xdr:row>5</xdr:row>
      <xdr:rowOff>142875</xdr:rowOff>
    </xdr:from>
    <xdr:to>
      <xdr:col>12</xdr:col>
      <xdr:colOff>552450</xdr:colOff>
      <xdr:row>9</xdr:row>
      <xdr:rowOff>76200</xdr:rowOff>
    </xdr:to>
    <xdr:grpSp>
      <xdr:nvGrpSpPr>
        <xdr:cNvPr id="15" name="Group 14">
          <a:extLst>
            <a:ext uri="{FF2B5EF4-FFF2-40B4-BE49-F238E27FC236}">
              <a16:creationId xmlns:a16="http://schemas.microsoft.com/office/drawing/2014/main" id="{09C58F01-96BE-9195-6845-C11AE4D7A538}"/>
            </a:ext>
          </a:extLst>
        </xdr:cNvPr>
        <xdr:cNvGrpSpPr/>
      </xdr:nvGrpSpPr>
      <xdr:grpSpPr>
        <a:xfrm>
          <a:off x="5781675" y="1095375"/>
          <a:ext cx="2085975" cy="695325"/>
          <a:chOff x="2228850" y="2381250"/>
          <a:chExt cx="2085975" cy="695325"/>
        </a:xfrm>
      </xdr:grpSpPr>
      <xdr:sp macro="" textlink="">
        <xdr:nvSpPr>
          <xdr:cNvPr id="8" name="Rectangle: Rounded Corners 7">
            <a:extLst>
              <a:ext uri="{FF2B5EF4-FFF2-40B4-BE49-F238E27FC236}">
                <a16:creationId xmlns:a16="http://schemas.microsoft.com/office/drawing/2014/main" id="{4C8FCBD7-AD88-9010-B804-DA384617C4B4}"/>
              </a:ext>
            </a:extLst>
          </xdr:cNvPr>
          <xdr:cNvSpPr/>
        </xdr:nvSpPr>
        <xdr:spPr>
          <a:xfrm>
            <a:off x="2228850" y="2381250"/>
            <a:ext cx="2085975" cy="6953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TextBox 10">
            <a:extLst>
              <a:ext uri="{FF2B5EF4-FFF2-40B4-BE49-F238E27FC236}">
                <a16:creationId xmlns:a16="http://schemas.microsoft.com/office/drawing/2014/main" id="{73F9DAF7-7FAD-532C-1FAC-08C1E26DBAEC}"/>
              </a:ext>
            </a:extLst>
          </xdr:cNvPr>
          <xdr:cNvSpPr txBox="1"/>
        </xdr:nvSpPr>
        <xdr:spPr>
          <a:xfrm>
            <a:off x="2914649" y="2438400"/>
            <a:ext cx="1076325"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Quantity Sold</a:t>
            </a:r>
          </a:p>
        </xdr:txBody>
      </xdr:sp>
      <xdr:sp macro="" textlink="'Pivot Analysis'!$I$9">
        <xdr:nvSpPr>
          <xdr:cNvPr id="12" name="TextBox 11">
            <a:extLst>
              <a:ext uri="{FF2B5EF4-FFF2-40B4-BE49-F238E27FC236}">
                <a16:creationId xmlns:a16="http://schemas.microsoft.com/office/drawing/2014/main" id="{20A1D32B-3B56-CAC7-9635-3FC0131088FB}"/>
              </a:ext>
            </a:extLst>
          </xdr:cNvPr>
          <xdr:cNvSpPr txBox="1"/>
        </xdr:nvSpPr>
        <xdr:spPr>
          <a:xfrm>
            <a:off x="3267075" y="2743200"/>
            <a:ext cx="723900"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F748BA3-9CF1-452D-8CEE-60A7B5EDF4AD}" type="TxLink">
              <a:rPr lang="en-US" sz="1200" b="1" i="0" u="none" strike="noStrike">
                <a:solidFill>
                  <a:srgbClr val="000000"/>
                </a:solidFill>
                <a:latin typeface="Calibri"/>
                <a:cs typeface="Calibri"/>
              </a:rPr>
              <a:t>3232</a:t>
            </a:fld>
            <a:endParaRPr lang="en-US" sz="1200" b="1"/>
          </a:p>
        </xdr:txBody>
      </xdr:sp>
      <xdr:pic>
        <xdr:nvPicPr>
          <xdr:cNvPr id="14" name="Graphic 13" descr="Daily calendar">
            <a:extLst>
              <a:ext uri="{FF2B5EF4-FFF2-40B4-BE49-F238E27FC236}">
                <a16:creationId xmlns:a16="http://schemas.microsoft.com/office/drawing/2014/main" id="{F9D09C91-67C0-4605-1D0A-A5E868D090C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05050" y="2457450"/>
            <a:ext cx="600075" cy="571500"/>
          </a:xfrm>
          <a:prstGeom prst="rect">
            <a:avLst/>
          </a:prstGeom>
        </xdr:spPr>
      </xdr:pic>
    </xdr:grpSp>
    <xdr:clientData/>
  </xdr:twoCellAnchor>
  <xdr:twoCellAnchor>
    <xdr:from>
      <xdr:col>13</xdr:col>
      <xdr:colOff>28575</xdr:colOff>
      <xdr:row>5</xdr:row>
      <xdr:rowOff>142875</xdr:rowOff>
    </xdr:from>
    <xdr:to>
      <xdr:col>16</xdr:col>
      <xdr:colOff>447675</xdr:colOff>
      <xdr:row>9</xdr:row>
      <xdr:rowOff>76200</xdr:rowOff>
    </xdr:to>
    <xdr:grpSp>
      <xdr:nvGrpSpPr>
        <xdr:cNvPr id="21" name="Group 20">
          <a:extLst>
            <a:ext uri="{FF2B5EF4-FFF2-40B4-BE49-F238E27FC236}">
              <a16:creationId xmlns:a16="http://schemas.microsoft.com/office/drawing/2014/main" id="{D4E407FC-A24C-AC41-D71E-0B240568407B}"/>
            </a:ext>
          </a:extLst>
        </xdr:cNvPr>
        <xdr:cNvGrpSpPr/>
      </xdr:nvGrpSpPr>
      <xdr:grpSpPr>
        <a:xfrm>
          <a:off x="7953375" y="1095375"/>
          <a:ext cx="2247900" cy="695325"/>
          <a:chOff x="4676775" y="2362200"/>
          <a:chExt cx="2247900" cy="695325"/>
        </a:xfrm>
      </xdr:grpSpPr>
      <xdr:sp macro="" textlink="">
        <xdr:nvSpPr>
          <xdr:cNvPr id="9" name="Rectangle: Rounded Corners 8">
            <a:extLst>
              <a:ext uri="{FF2B5EF4-FFF2-40B4-BE49-F238E27FC236}">
                <a16:creationId xmlns:a16="http://schemas.microsoft.com/office/drawing/2014/main" id="{12B3F0FA-9994-41AA-BCD9-0CABD4A5A9E2}"/>
              </a:ext>
            </a:extLst>
          </xdr:cNvPr>
          <xdr:cNvSpPr/>
        </xdr:nvSpPr>
        <xdr:spPr>
          <a:xfrm>
            <a:off x="4676775" y="2362200"/>
            <a:ext cx="2247900" cy="6953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TextBox 15">
            <a:extLst>
              <a:ext uri="{FF2B5EF4-FFF2-40B4-BE49-F238E27FC236}">
                <a16:creationId xmlns:a16="http://schemas.microsoft.com/office/drawing/2014/main" id="{FFA47BEE-7058-2189-C471-579D04223A89}"/>
              </a:ext>
            </a:extLst>
          </xdr:cNvPr>
          <xdr:cNvSpPr txBox="1"/>
        </xdr:nvSpPr>
        <xdr:spPr>
          <a:xfrm>
            <a:off x="5467350" y="2438401"/>
            <a:ext cx="130492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Revenue Earned</a:t>
            </a:r>
          </a:p>
        </xdr:txBody>
      </xdr:sp>
      <xdr:sp macro="" textlink="'Pivot Analysis'!$D$9">
        <xdr:nvSpPr>
          <xdr:cNvPr id="18" name="TextBox 17">
            <a:extLst>
              <a:ext uri="{FF2B5EF4-FFF2-40B4-BE49-F238E27FC236}">
                <a16:creationId xmlns:a16="http://schemas.microsoft.com/office/drawing/2014/main" id="{492DE010-9429-ACC2-1E7C-BB5748EAAE9D}"/>
              </a:ext>
            </a:extLst>
          </xdr:cNvPr>
          <xdr:cNvSpPr txBox="1"/>
        </xdr:nvSpPr>
        <xdr:spPr>
          <a:xfrm>
            <a:off x="5838825" y="2771774"/>
            <a:ext cx="933450" cy="2190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F0F8DDB-2606-4847-99FE-4B310EAE6C1B}" type="TxLink">
              <a:rPr lang="en-US" sz="1200" b="1" i="0" u="none" strike="noStrike">
                <a:solidFill>
                  <a:srgbClr val="000000"/>
                </a:solidFill>
                <a:latin typeface="Calibri"/>
                <a:cs typeface="Calibri"/>
              </a:rPr>
              <a:t>36016.6</a:t>
            </a:fld>
            <a:endParaRPr lang="en-US" sz="1200" b="1"/>
          </a:p>
        </xdr:txBody>
      </xdr:sp>
      <xdr:pic>
        <xdr:nvPicPr>
          <xdr:cNvPr id="20" name="Graphic 19" descr="Dollar">
            <a:extLst>
              <a:ext uri="{FF2B5EF4-FFF2-40B4-BE49-F238E27FC236}">
                <a16:creationId xmlns:a16="http://schemas.microsoft.com/office/drawing/2014/main" id="{4C50E390-38DA-E3E8-37F4-BBE59793302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800599" y="2486024"/>
            <a:ext cx="600075" cy="514351"/>
          </a:xfrm>
          <a:prstGeom prst="rect">
            <a:avLst/>
          </a:prstGeom>
        </xdr:spPr>
      </xdr:pic>
    </xdr:grpSp>
    <xdr:clientData/>
  </xdr:twoCellAnchor>
  <xdr:twoCellAnchor>
    <xdr:from>
      <xdr:col>3</xdr:col>
      <xdr:colOff>152400</xdr:colOff>
      <xdr:row>12</xdr:row>
      <xdr:rowOff>57150</xdr:rowOff>
    </xdr:from>
    <xdr:to>
      <xdr:col>10</xdr:col>
      <xdr:colOff>304800</xdr:colOff>
      <xdr:row>26</xdr:row>
      <xdr:rowOff>133350</xdr:rowOff>
    </xdr:to>
    <xdr:graphicFrame macro="">
      <xdr:nvGraphicFramePr>
        <xdr:cNvPr id="22" name="Chart 21">
          <a:extLst>
            <a:ext uri="{FF2B5EF4-FFF2-40B4-BE49-F238E27FC236}">
              <a16:creationId xmlns:a16="http://schemas.microsoft.com/office/drawing/2014/main" id="{7EBBA469-CC0D-479C-B7C4-BEC8716BE3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390526</xdr:colOff>
      <xdr:row>12</xdr:row>
      <xdr:rowOff>66675</xdr:rowOff>
    </xdr:from>
    <xdr:to>
      <xdr:col>17</xdr:col>
      <xdr:colOff>0</xdr:colOff>
      <xdr:row>26</xdr:row>
      <xdr:rowOff>142875</xdr:rowOff>
    </xdr:to>
    <xdr:graphicFrame macro="">
      <xdr:nvGraphicFramePr>
        <xdr:cNvPr id="23" name="Chart 22">
          <a:extLst>
            <a:ext uri="{FF2B5EF4-FFF2-40B4-BE49-F238E27FC236}">
              <a16:creationId xmlns:a16="http://schemas.microsoft.com/office/drawing/2014/main" id="{68CBEA2E-C9F9-4780-92D6-A2C8396533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209550</xdr:colOff>
      <xdr:row>28</xdr:row>
      <xdr:rowOff>0</xdr:rowOff>
    </xdr:from>
    <xdr:to>
      <xdr:col>16</xdr:col>
      <xdr:colOff>590550</xdr:colOff>
      <xdr:row>36</xdr:row>
      <xdr:rowOff>171450</xdr:rowOff>
    </xdr:to>
    <xdr:graphicFrame macro="">
      <xdr:nvGraphicFramePr>
        <xdr:cNvPr id="24" name="Chart 23">
          <a:extLst>
            <a:ext uri="{FF2B5EF4-FFF2-40B4-BE49-F238E27FC236}">
              <a16:creationId xmlns:a16="http://schemas.microsoft.com/office/drawing/2014/main" id="{B70720B6-441B-40CF-976C-BE172BF530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06.396381365739" createdVersion="8" refreshedVersion="8" minRefreshableVersion="3" recordCount="257" xr:uid="{C1E6CE25-F77B-4730-9E2A-10D894E36020}">
  <cacheSource type="worksheet">
    <worksheetSource name="Sales_Table"/>
  </cacheSource>
  <cacheFields count="12">
    <cacheField name="Order ID" numFmtId="0">
      <sharedItems containsSemiMixedTypes="0" containsString="0" containsNumber="1" containsInteger="1" minValue="10452" maxValue="10713"/>
    </cacheField>
    <cacheField name="Date" numFmtId="14">
      <sharedItems containsSemiMixedTypes="0" containsNonDate="0" containsDate="1" containsString="0" minDate="2022-11-07T00:00:00" maxDate="2022-12-30T00:00:00" count="53">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sharedItems>
      <fieldGroup par="11"/>
    </cacheField>
    <cacheField name="Product" numFmtId="0">
      <sharedItems count="5">
        <s v="Fries"/>
        <s v="Beverages"/>
        <s v="Sides &amp; Other"/>
        <s v="Burgers"/>
        <s v="Chicken Sandwiches"/>
      </sharedItems>
    </cacheField>
    <cacheField name="Price" numFmtId="0">
      <sharedItems containsSemiMixedTypes="0" containsString="0" containsNumber="1" minValue="2.95" maxValue="33.22"/>
    </cacheField>
    <cacheField name="Quantity" numFmtId="0">
      <sharedItems containsSemiMixedTypes="0" containsString="0" containsNumber="1" containsInteger="1" minValue="201" maxValue="755"/>
    </cacheField>
    <cacheField name="Revenue" numFmtId="0">
      <sharedItems containsSemiMixedTypes="0" containsString="0" containsNumber="1" minValue="1002.99" maxValue="22523.16"/>
    </cacheField>
    <cacheField name="Purchase Type" numFmtId="0">
      <sharedItems count="3">
        <s v="Online "/>
        <s v="In-store "/>
        <s v="Drive-thru "/>
      </sharedItems>
    </cacheField>
    <cacheField name="Payment Method" numFmtId="0">
      <sharedItems count="3">
        <s v=" Gift Card"/>
        <s v=" Credit Card"/>
        <s v=" Cash"/>
      </sharedItems>
    </cacheField>
    <cacheField name="Manager" numFmtId="0">
      <sharedItems/>
    </cacheField>
    <cacheField name="City" numFmtId="0">
      <sharedItems/>
    </cacheField>
    <cacheField name="Days (Date)" numFmtId="0" databaseField="0">
      <fieldGroup base="1">
        <rangePr groupBy="days" startDate="2022-11-07T00:00:00" endDate="2022-12-30T00:00:00"/>
        <groupItems count="368">
          <s v="&lt;2022-11-07"/>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022-12-30"/>
        </groupItems>
      </fieldGroup>
    </cacheField>
    <cacheField name="Months (Date)" numFmtId="0" databaseField="0">
      <fieldGroup base="1">
        <rangePr groupBy="months" startDate="2022-11-07T00:00:00" endDate="2022-12-30T00:00:00"/>
        <groupItems count="14">
          <s v="&lt;2022-11-07"/>
          <s v="Jan"/>
          <s v="Feb"/>
          <s v="Mar"/>
          <s v="Apr"/>
          <s v="May"/>
          <s v="Jun"/>
          <s v="Jul"/>
          <s v="Aug"/>
          <s v="Sep"/>
          <s v="Oct"/>
          <s v="Nov"/>
          <s v="Dec"/>
          <s v="&gt;2022-12-30"/>
        </groupItems>
      </fieldGroup>
    </cacheField>
  </cacheFields>
  <extLst>
    <ext xmlns:x14="http://schemas.microsoft.com/office/spreadsheetml/2009/9/main" uri="{725AE2AE-9491-48be-B2B4-4EB974FC3084}">
      <x14:pivotCacheDefinition pivotCacheId="1369128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7">
  <r>
    <n v="10452"/>
    <x v="0"/>
    <x v="0"/>
    <n v="3.49"/>
    <n v="574"/>
    <n v="2003.2600000000002"/>
    <x v="0"/>
    <x v="0"/>
    <s v="Tom Jackson"/>
    <s v="London"/>
  </r>
  <r>
    <n v="10453"/>
    <x v="0"/>
    <x v="1"/>
    <n v="2.95"/>
    <n v="746"/>
    <n v="2200.7000000000003"/>
    <x v="0"/>
    <x v="0"/>
    <s v="Pablo Perez"/>
    <s v="Madrid"/>
  </r>
  <r>
    <n v="10454"/>
    <x v="0"/>
    <x v="2"/>
    <n v="4.99"/>
    <n v="201"/>
    <n v="1002.99"/>
    <x v="1"/>
    <x v="0"/>
    <s v="Joao Silva"/>
    <s v="Lisbon"/>
  </r>
  <r>
    <n v="10455"/>
    <x v="1"/>
    <x v="3"/>
    <n v="12.99"/>
    <n v="570"/>
    <n v="7404.3"/>
    <x v="1"/>
    <x v="1"/>
    <s v="Walter Muller"/>
    <s v="Berlin"/>
  </r>
  <r>
    <n v="10456"/>
    <x v="1"/>
    <x v="4"/>
    <n v="9.9499999999999993"/>
    <n v="202"/>
    <n v="2009.8999999999999"/>
    <x v="1"/>
    <x v="1"/>
    <s v="Walter Muller"/>
    <s v="Berlin"/>
  </r>
  <r>
    <n v="10457"/>
    <x v="1"/>
    <x v="0"/>
    <n v="3.49"/>
    <n v="574"/>
    <n v="2003.2600000000002"/>
    <x v="1"/>
    <x v="1"/>
    <s v="Remy Monet"/>
    <s v="Paris"/>
  </r>
  <r>
    <n v="10459"/>
    <x v="1"/>
    <x v="2"/>
    <n v="4.99"/>
    <n v="201"/>
    <n v="1002.99"/>
    <x v="1"/>
    <x v="1"/>
    <s v="Walter Muller"/>
    <s v="Berlin"/>
  </r>
  <r>
    <n v="10460"/>
    <x v="2"/>
    <x v="3"/>
    <n v="12.99"/>
    <n v="555"/>
    <n v="7209.45"/>
    <x v="1"/>
    <x v="1"/>
    <s v="Remy Monet"/>
    <s v="Paris"/>
  </r>
  <r>
    <n v="10461"/>
    <x v="2"/>
    <x v="4"/>
    <n v="9.9499999999999993"/>
    <n v="202"/>
    <n v="2009.8999999999999"/>
    <x v="1"/>
    <x v="1"/>
    <s v="Remy Monet"/>
    <s v="Paris"/>
  </r>
  <r>
    <n v="10462"/>
    <x v="2"/>
    <x v="0"/>
    <n v="3.49"/>
    <n v="574"/>
    <n v="2003.2600000000002"/>
    <x v="1"/>
    <x v="1"/>
    <s v="Remy Monet"/>
    <s v="Paris"/>
  </r>
  <r>
    <n v="10463"/>
    <x v="2"/>
    <x v="1"/>
    <n v="2.95"/>
    <n v="678"/>
    <n v="2000.1000000000001"/>
    <x v="1"/>
    <x v="1"/>
    <s v="Remy Monet"/>
    <s v="Paris"/>
  </r>
  <r>
    <n v="10464"/>
    <x v="2"/>
    <x v="2"/>
    <n v="4.99"/>
    <n v="201"/>
    <n v="1002.99"/>
    <x v="1"/>
    <x v="1"/>
    <s v="Remy Monet"/>
    <s v="Paris"/>
  </r>
  <r>
    <n v="10465"/>
    <x v="3"/>
    <x v="3"/>
    <n v="12.99"/>
    <n v="555"/>
    <n v="7209.45"/>
    <x v="1"/>
    <x v="1"/>
    <s v="Pablo Perez"/>
    <s v="Madrid"/>
  </r>
  <r>
    <n v="10466"/>
    <x v="3"/>
    <x v="4"/>
    <n v="9.9499999999999993"/>
    <n v="202"/>
    <n v="2009.8999999999999"/>
    <x v="1"/>
    <x v="1"/>
    <s v="Pablo Perez"/>
    <s v="Madrid"/>
  </r>
  <r>
    <n v="10467"/>
    <x v="3"/>
    <x v="0"/>
    <n v="3.49"/>
    <n v="574"/>
    <n v="2003.2600000000002"/>
    <x v="1"/>
    <x v="1"/>
    <s v="Pablo Perez"/>
    <s v="Madrid"/>
  </r>
  <r>
    <n v="10468"/>
    <x v="3"/>
    <x v="1"/>
    <n v="2.95"/>
    <n v="678"/>
    <n v="2000.1000000000001"/>
    <x v="1"/>
    <x v="1"/>
    <s v="Pablo Perez"/>
    <s v="Madrid"/>
  </r>
  <r>
    <n v="10470"/>
    <x v="4"/>
    <x v="3"/>
    <n v="12.99"/>
    <n v="555"/>
    <n v="7209.45"/>
    <x v="1"/>
    <x v="1"/>
    <s v="Pablo Perez"/>
    <s v="Madrid"/>
  </r>
  <r>
    <n v="10471"/>
    <x v="4"/>
    <x v="4"/>
    <n v="9.9499999999999993"/>
    <n v="202"/>
    <n v="2009.8999999999999"/>
    <x v="1"/>
    <x v="1"/>
    <s v="Pablo Perez"/>
    <s v="Madrid"/>
  </r>
  <r>
    <n v="10472"/>
    <x v="4"/>
    <x v="0"/>
    <n v="3.49"/>
    <n v="631"/>
    <n v="2202.19"/>
    <x v="1"/>
    <x v="1"/>
    <s v="Pablo Perez"/>
    <s v="Madrid"/>
  </r>
  <r>
    <n v="10473"/>
    <x v="4"/>
    <x v="1"/>
    <n v="2.95"/>
    <n v="678"/>
    <n v="2000.1000000000001"/>
    <x v="1"/>
    <x v="1"/>
    <s v="Pablo Perez"/>
    <s v="Madrid"/>
  </r>
  <r>
    <n v="10474"/>
    <x v="4"/>
    <x v="2"/>
    <n v="4.99"/>
    <n v="201"/>
    <n v="1002.99"/>
    <x v="1"/>
    <x v="1"/>
    <s v="Pablo Perez"/>
    <s v="Madrid"/>
  </r>
  <r>
    <n v="10475"/>
    <x v="5"/>
    <x v="3"/>
    <n v="12.99"/>
    <n v="524"/>
    <n v="6806.76"/>
    <x v="1"/>
    <x v="1"/>
    <s v="Pablo Perez"/>
    <s v="Madrid"/>
  </r>
  <r>
    <n v="10476"/>
    <x v="5"/>
    <x v="4"/>
    <n v="9.9499999999999993"/>
    <n v="202"/>
    <n v="2009.8999999999999"/>
    <x v="1"/>
    <x v="1"/>
    <s v="Pablo Perez"/>
    <s v="Madrid"/>
  </r>
  <r>
    <n v="10477"/>
    <x v="5"/>
    <x v="0"/>
    <n v="3.49"/>
    <n v="631"/>
    <n v="2202.19"/>
    <x v="1"/>
    <x v="1"/>
    <s v="Pablo Perez"/>
    <s v="Madrid"/>
  </r>
  <r>
    <n v="10478"/>
    <x v="5"/>
    <x v="1"/>
    <n v="2.95"/>
    <n v="678"/>
    <n v="2000.1000000000001"/>
    <x v="1"/>
    <x v="1"/>
    <s v="Pablo Perez"/>
    <s v="Madrid"/>
  </r>
  <r>
    <n v="10479"/>
    <x v="5"/>
    <x v="2"/>
    <n v="4.99"/>
    <n v="201"/>
    <n v="1002.99"/>
    <x v="1"/>
    <x v="1"/>
    <s v="Pablo Perez"/>
    <s v="Madrid"/>
  </r>
  <r>
    <n v="10480"/>
    <x v="6"/>
    <x v="3"/>
    <n v="12.99"/>
    <n v="509"/>
    <n v="6611.91"/>
    <x v="1"/>
    <x v="1"/>
    <s v="Pablo Perez"/>
    <s v="Madrid"/>
  </r>
  <r>
    <n v="10481"/>
    <x v="6"/>
    <x v="4"/>
    <n v="9.9499999999999993"/>
    <n v="202"/>
    <n v="2009.8999999999999"/>
    <x v="1"/>
    <x v="1"/>
    <s v="Pablo Perez"/>
    <s v="Madrid"/>
  </r>
  <r>
    <n v="10482"/>
    <x v="6"/>
    <x v="0"/>
    <n v="25.5"/>
    <n v="631"/>
    <n v="16090.5"/>
    <x v="1"/>
    <x v="1"/>
    <s v="Joao Silva"/>
    <s v="Lisbon"/>
  </r>
  <r>
    <n v="10483"/>
    <x v="6"/>
    <x v="1"/>
    <n v="33.22"/>
    <n v="678"/>
    <n v="22523.16"/>
    <x v="1"/>
    <x v="1"/>
    <s v="Joao Silva"/>
    <s v="Lisbon"/>
  </r>
  <r>
    <n v="10484"/>
    <x v="6"/>
    <x v="2"/>
    <n v="21.44"/>
    <n v="201"/>
    <n v="4309.4400000000005"/>
    <x v="1"/>
    <x v="1"/>
    <s v="Joao Silva"/>
    <s v="Lisbon"/>
  </r>
  <r>
    <n v="10485"/>
    <x v="7"/>
    <x v="3"/>
    <n v="27.99"/>
    <n v="524"/>
    <n v="14666.759999999998"/>
    <x v="1"/>
    <x v="1"/>
    <s v="Joao Silva"/>
    <s v="Lisbon"/>
  </r>
  <r>
    <n v="10486"/>
    <x v="7"/>
    <x v="4"/>
    <n v="29.05"/>
    <n v="202"/>
    <n v="5868.1"/>
    <x v="1"/>
    <x v="1"/>
    <s v="Joao Silva"/>
    <s v="Lisbon"/>
  </r>
  <r>
    <n v="10487"/>
    <x v="7"/>
    <x v="0"/>
    <n v="3.49"/>
    <n v="631"/>
    <n v="2202.19"/>
    <x v="1"/>
    <x v="1"/>
    <s v="Joao Silva"/>
    <s v="Lisbon"/>
  </r>
  <r>
    <n v="10488"/>
    <x v="7"/>
    <x v="1"/>
    <n v="2.95"/>
    <n v="678"/>
    <n v="2000.1000000000001"/>
    <x v="1"/>
    <x v="1"/>
    <s v="Joao Silva"/>
    <s v="Lisbon"/>
  </r>
  <r>
    <n v="10489"/>
    <x v="7"/>
    <x v="2"/>
    <n v="4.99"/>
    <n v="201"/>
    <n v="1002.99"/>
    <x v="1"/>
    <x v="1"/>
    <s v="Pablo Perez"/>
    <s v="Madrid"/>
  </r>
  <r>
    <n v="10490"/>
    <x v="8"/>
    <x v="3"/>
    <n v="12.99"/>
    <n v="509"/>
    <n v="6611.91"/>
    <x v="1"/>
    <x v="1"/>
    <s v="Pablo Perez"/>
    <s v="Madrid"/>
  </r>
  <r>
    <n v="10491"/>
    <x v="8"/>
    <x v="4"/>
    <n v="9.9499999999999993"/>
    <n v="202"/>
    <n v="2009.8999999999999"/>
    <x v="1"/>
    <x v="1"/>
    <s v="Pablo Perez"/>
    <s v="Madrid"/>
  </r>
  <r>
    <n v="10492"/>
    <x v="8"/>
    <x v="0"/>
    <n v="3.49"/>
    <n v="574"/>
    <n v="2003.2600000000002"/>
    <x v="1"/>
    <x v="1"/>
    <s v="Pablo Perez"/>
    <s v="Madrid"/>
  </r>
  <r>
    <n v="10493"/>
    <x v="8"/>
    <x v="1"/>
    <n v="2.95"/>
    <n v="678"/>
    <n v="2000.1000000000001"/>
    <x v="1"/>
    <x v="1"/>
    <s v="Pablo Perez"/>
    <s v="Madrid"/>
  </r>
  <r>
    <n v="10494"/>
    <x v="8"/>
    <x v="2"/>
    <n v="4.99"/>
    <n v="201"/>
    <n v="1002.99"/>
    <x v="1"/>
    <x v="1"/>
    <s v="Pablo Perez"/>
    <s v="Madrid"/>
  </r>
  <r>
    <n v="10495"/>
    <x v="9"/>
    <x v="3"/>
    <n v="12.99"/>
    <n v="509"/>
    <n v="6611.91"/>
    <x v="1"/>
    <x v="1"/>
    <s v="Pablo Perez"/>
    <s v="Madrid"/>
  </r>
  <r>
    <n v="10496"/>
    <x v="9"/>
    <x v="4"/>
    <n v="9.9499999999999993"/>
    <n v="202"/>
    <n v="2009.8999999999999"/>
    <x v="1"/>
    <x v="1"/>
    <s v="Pablo Perez"/>
    <s v="Madrid"/>
  </r>
  <r>
    <n v="10497"/>
    <x v="9"/>
    <x v="0"/>
    <n v="3.49"/>
    <n v="574"/>
    <n v="2003.2600000000002"/>
    <x v="1"/>
    <x v="1"/>
    <s v="Pablo Perez"/>
    <s v="Madrid"/>
  </r>
  <r>
    <n v="10498"/>
    <x v="9"/>
    <x v="1"/>
    <n v="2.95"/>
    <n v="678"/>
    <n v="2000.1000000000001"/>
    <x v="2"/>
    <x v="1"/>
    <s v="Pablo Perez"/>
    <s v="Madrid"/>
  </r>
  <r>
    <n v="10499"/>
    <x v="9"/>
    <x v="2"/>
    <n v="4.99"/>
    <n v="201"/>
    <n v="1002.99"/>
    <x v="2"/>
    <x v="1"/>
    <s v="Pablo Perez"/>
    <s v="Madrid"/>
  </r>
  <r>
    <n v="10500"/>
    <x v="10"/>
    <x v="3"/>
    <n v="12.99"/>
    <n v="524"/>
    <n v="6806.76"/>
    <x v="2"/>
    <x v="1"/>
    <s v="Pablo Perez"/>
    <s v="Madrid"/>
  </r>
  <r>
    <n v="10501"/>
    <x v="10"/>
    <x v="4"/>
    <n v="9.9499999999999993"/>
    <n v="202"/>
    <n v="2009.8999999999999"/>
    <x v="2"/>
    <x v="1"/>
    <s v="Pablo Perez"/>
    <s v="Madrid"/>
  </r>
  <r>
    <n v="10502"/>
    <x v="10"/>
    <x v="0"/>
    <n v="3.49"/>
    <n v="631"/>
    <n v="2202.19"/>
    <x v="2"/>
    <x v="1"/>
    <s v="Pablo Perez"/>
    <s v="Madrid"/>
  </r>
  <r>
    <n v="10503"/>
    <x v="10"/>
    <x v="1"/>
    <n v="2.95"/>
    <n v="678"/>
    <n v="2000.1000000000001"/>
    <x v="2"/>
    <x v="1"/>
    <s v="Pablo Perez"/>
    <s v="Madrid"/>
  </r>
  <r>
    <n v="10504"/>
    <x v="10"/>
    <x v="2"/>
    <n v="4.99"/>
    <n v="201"/>
    <n v="1002.99"/>
    <x v="2"/>
    <x v="1"/>
    <s v="Pablo Perez"/>
    <s v="Madrid"/>
  </r>
  <r>
    <n v="10505"/>
    <x v="11"/>
    <x v="3"/>
    <n v="12.99"/>
    <n v="539"/>
    <n v="7001.61"/>
    <x v="2"/>
    <x v="1"/>
    <s v="Pablo Perez"/>
    <s v="Madrid"/>
  </r>
  <r>
    <n v="10506"/>
    <x v="11"/>
    <x v="4"/>
    <n v="9.9499999999999993"/>
    <n v="202"/>
    <n v="2009.8999999999999"/>
    <x v="2"/>
    <x v="1"/>
    <s v="Pablo Perez"/>
    <s v="Madrid"/>
  </r>
  <r>
    <n v="10507"/>
    <x v="11"/>
    <x v="0"/>
    <n v="3.49"/>
    <n v="688"/>
    <n v="2401.1200000000003"/>
    <x v="2"/>
    <x v="1"/>
    <s v="Pablo Perez"/>
    <s v="Madrid"/>
  </r>
  <r>
    <n v="10508"/>
    <x v="11"/>
    <x v="1"/>
    <n v="2.95"/>
    <n v="678"/>
    <n v="2000.1000000000001"/>
    <x v="2"/>
    <x v="1"/>
    <s v="Pablo Perez"/>
    <s v="Madrid"/>
  </r>
  <r>
    <n v="10509"/>
    <x v="11"/>
    <x v="2"/>
    <n v="4.99"/>
    <n v="201"/>
    <n v="1002.99"/>
    <x v="2"/>
    <x v="1"/>
    <s v="Pablo Perez"/>
    <s v="Madrid"/>
  </r>
  <r>
    <n v="10510"/>
    <x v="12"/>
    <x v="3"/>
    <n v="12.99"/>
    <n v="509"/>
    <n v="6611.91"/>
    <x v="2"/>
    <x v="1"/>
    <s v="Pablo Perez"/>
    <s v="Madrid"/>
  </r>
  <r>
    <n v="10511"/>
    <x v="12"/>
    <x v="4"/>
    <n v="9.9499999999999993"/>
    <n v="202"/>
    <n v="2009.8999999999999"/>
    <x v="2"/>
    <x v="1"/>
    <s v="Joao Silva"/>
    <s v="Lisbon"/>
  </r>
  <r>
    <n v="10512"/>
    <x v="12"/>
    <x v="0"/>
    <n v="3.49"/>
    <n v="688"/>
    <n v="2401.1200000000003"/>
    <x v="2"/>
    <x v="1"/>
    <s v="Joao Silva"/>
    <s v="Lisbon"/>
  </r>
  <r>
    <n v="10513"/>
    <x v="12"/>
    <x v="1"/>
    <n v="2.95"/>
    <n v="678"/>
    <n v="2000.1000000000001"/>
    <x v="2"/>
    <x v="2"/>
    <s v="Joao Silva"/>
    <s v="Lisbon"/>
  </r>
  <r>
    <n v="10514"/>
    <x v="12"/>
    <x v="2"/>
    <n v="4.99"/>
    <n v="201"/>
    <n v="1002.99"/>
    <x v="2"/>
    <x v="2"/>
    <s v="Joao Silva"/>
    <s v="Lisbon"/>
  </r>
  <r>
    <n v="10515"/>
    <x v="13"/>
    <x v="3"/>
    <n v="12.99"/>
    <n v="478"/>
    <n v="6209.22"/>
    <x v="2"/>
    <x v="2"/>
    <s v="Joao Silva"/>
    <s v="Lisbon"/>
  </r>
  <r>
    <n v="10516"/>
    <x v="13"/>
    <x v="4"/>
    <n v="9.9499999999999993"/>
    <n v="202"/>
    <n v="2009.8999999999999"/>
    <x v="2"/>
    <x v="2"/>
    <s v="Joao Silva"/>
    <s v="Lisbon"/>
  </r>
  <r>
    <n v="10483"/>
    <x v="6"/>
    <x v="1"/>
    <n v="2.95"/>
    <n v="678"/>
    <n v="2000.1000000000001"/>
    <x v="1"/>
    <x v="1"/>
    <s v="Joao Silva"/>
    <s v="Lisbon"/>
  </r>
  <r>
    <n v="10484"/>
    <x v="6"/>
    <x v="2"/>
    <n v="4.99"/>
    <n v="201"/>
    <n v="1002.99"/>
    <x v="1"/>
    <x v="1"/>
    <s v="Joao Silva"/>
    <s v="Lisbon"/>
  </r>
  <r>
    <n v="10485"/>
    <x v="7"/>
    <x v="3"/>
    <n v="12.99"/>
    <n v="524"/>
    <n v="6806.76"/>
    <x v="1"/>
    <x v="1"/>
    <s v="Joao Silva"/>
    <s v="Lisbon"/>
  </r>
  <r>
    <n v="10520"/>
    <x v="14"/>
    <x v="3"/>
    <n v="12.99"/>
    <n v="493"/>
    <n v="6404.07"/>
    <x v="2"/>
    <x v="2"/>
    <s v="Remy Monet"/>
    <s v="Paris"/>
  </r>
  <r>
    <n v="10521"/>
    <x v="14"/>
    <x v="4"/>
    <n v="9.9499999999999993"/>
    <n v="202"/>
    <n v="2009.8999999999999"/>
    <x v="2"/>
    <x v="2"/>
    <s v="Remy Monet"/>
    <s v="Paris"/>
  </r>
  <r>
    <n v="10522"/>
    <x v="14"/>
    <x v="0"/>
    <n v="3.49"/>
    <n v="688"/>
    <n v="2401.1200000000003"/>
    <x v="2"/>
    <x v="2"/>
    <s v="Remy Monet"/>
    <s v="Paris"/>
  </r>
  <r>
    <n v="10523"/>
    <x v="14"/>
    <x v="1"/>
    <n v="2.95"/>
    <n v="746"/>
    <n v="2200.7000000000003"/>
    <x v="2"/>
    <x v="2"/>
    <s v="Remy Monet"/>
    <s v="Paris"/>
  </r>
  <r>
    <n v="10524"/>
    <x v="14"/>
    <x v="2"/>
    <n v="4.99"/>
    <n v="201"/>
    <n v="1002.99"/>
    <x v="2"/>
    <x v="2"/>
    <s v="Remy Monet"/>
    <s v="Paris"/>
  </r>
  <r>
    <n v="10525"/>
    <x v="15"/>
    <x v="3"/>
    <n v="12.99"/>
    <n v="462"/>
    <n v="6001.38"/>
    <x v="2"/>
    <x v="2"/>
    <s v="Remy Monet"/>
    <s v="Paris"/>
  </r>
  <r>
    <n v="10526"/>
    <x v="15"/>
    <x v="4"/>
    <n v="9.9499999999999993"/>
    <n v="202"/>
    <n v="2009.8999999999999"/>
    <x v="2"/>
    <x v="2"/>
    <s v="Remy Monet"/>
    <s v="Paris"/>
  </r>
  <r>
    <n v="10527"/>
    <x v="15"/>
    <x v="0"/>
    <n v="3.49"/>
    <n v="688"/>
    <n v="2401.1200000000003"/>
    <x v="2"/>
    <x v="2"/>
    <s v="Remy Monet"/>
    <s v="Paris"/>
  </r>
  <r>
    <n v="10528"/>
    <x v="15"/>
    <x v="1"/>
    <n v="2.95"/>
    <n v="746"/>
    <n v="2200.7000000000003"/>
    <x v="2"/>
    <x v="2"/>
    <s v="Remy Monet"/>
    <s v="Paris"/>
  </r>
  <r>
    <n v="10529"/>
    <x v="15"/>
    <x v="2"/>
    <n v="4.99"/>
    <n v="201"/>
    <n v="1002.99"/>
    <x v="2"/>
    <x v="2"/>
    <s v="Remy Monet"/>
    <s v="Paris"/>
  </r>
  <r>
    <n v="10530"/>
    <x v="16"/>
    <x v="3"/>
    <n v="12.99"/>
    <n v="478"/>
    <n v="6209.22"/>
    <x v="2"/>
    <x v="2"/>
    <s v="Remy Monet"/>
    <s v="Paris"/>
  </r>
  <r>
    <n v="10531"/>
    <x v="16"/>
    <x v="4"/>
    <n v="9.9499999999999993"/>
    <n v="202"/>
    <n v="2009.8999999999999"/>
    <x v="2"/>
    <x v="2"/>
    <s v="Remy Monet"/>
    <s v="Paris"/>
  </r>
  <r>
    <n v="10532"/>
    <x v="16"/>
    <x v="0"/>
    <n v="3.49"/>
    <n v="688"/>
    <n v="2401.1200000000003"/>
    <x v="2"/>
    <x v="2"/>
    <s v="Joao Silva"/>
    <s v="Lisbon"/>
  </r>
  <r>
    <n v="10533"/>
    <x v="16"/>
    <x v="1"/>
    <n v="2.95"/>
    <n v="746"/>
    <n v="2200.7000000000003"/>
    <x v="2"/>
    <x v="2"/>
    <s v="Joao Silva"/>
    <s v="Lisbon"/>
  </r>
  <r>
    <n v="10534"/>
    <x v="16"/>
    <x v="2"/>
    <n v="4.99"/>
    <n v="201"/>
    <n v="1002.99"/>
    <x v="2"/>
    <x v="2"/>
    <s v="Pablo Perez"/>
    <s v="Madrid"/>
  </r>
  <r>
    <n v="10535"/>
    <x v="17"/>
    <x v="3"/>
    <n v="12.99"/>
    <n v="478"/>
    <n v="6209.22"/>
    <x v="2"/>
    <x v="1"/>
    <s v="Pablo Perez"/>
    <s v="Madrid"/>
  </r>
  <r>
    <n v="10536"/>
    <x v="17"/>
    <x v="4"/>
    <n v="9.9499999999999993"/>
    <n v="202"/>
    <n v="2009.8999999999999"/>
    <x v="2"/>
    <x v="1"/>
    <s v="Pablo Perez"/>
    <s v="Madrid"/>
  </r>
  <r>
    <n v="10537"/>
    <x v="17"/>
    <x v="0"/>
    <n v="3.49"/>
    <n v="631"/>
    <n v="2202.19"/>
    <x v="2"/>
    <x v="1"/>
    <s v="Pablo Perez"/>
    <s v="Madrid"/>
  </r>
  <r>
    <n v="10538"/>
    <x v="17"/>
    <x v="1"/>
    <n v="2.95"/>
    <n v="746"/>
    <n v="2200.7000000000003"/>
    <x v="2"/>
    <x v="1"/>
    <s v="Pablo Perez"/>
    <s v="Madrid"/>
  </r>
  <r>
    <n v="10539"/>
    <x v="17"/>
    <x v="2"/>
    <n v="4.99"/>
    <n v="201"/>
    <n v="1002.99"/>
    <x v="2"/>
    <x v="1"/>
    <s v="Pablo Perez"/>
    <s v="Madrid"/>
  </r>
  <r>
    <n v="10540"/>
    <x v="18"/>
    <x v="3"/>
    <n v="12.99"/>
    <n v="462"/>
    <n v="6001.38"/>
    <x v="2"/>
    <x v="1"/>
    <s v="Pablo Perez"/>
    <s v="Madrid"/>
  </r>
  <r>
    <n v="10541"/>
    <x v="18"/>
    <x v="4"/>
    <n v="9.9499999999999993"/>
    <n v="202"/>
    <n v="2009.8999999999999"/>
    <x v="2"/>
    <x v="1"/>
    <s v="Tom Jackson"/>
    <s v="London"/>
  </r>
  <r>
    <n v="10542"/>
    <x v="18"/>
    <x v="0"/>
    <n v="3.49"/>
    <n v="631"/>
    <n v="2202.19"/>
    <x v="2"/>
    <x v="1"/>
    <s v="Tom Jackson"/>
    <s v="London"/>
  </r>
  <r>
    <n v="10543"/>
    <x v="18"/>
    <x v="1"/>
    <n v="2.95"/>
    <n v="746"/>
    <n v="2200.7000000000003"/>
    <x v="2"/>
    <x v="1"/>
    <s v="Tom Jackson"/>
    <s v="London"/>
  </r>
  <r>
    <n v="10544"/>
    <x v="18"/>
    <x v="2"/>
    <n v="4.99"/>
    <n v="201"/>
    <n v="1002.99"/>
    <x v="2"/>
    <x v="1"/>
    <s v="Tom Jackson"/>
    <s v="London"/>
  </r>
  <r>
    <n v="10545"/>
    <x v="19"/>
    <x v="3"/>
    <n v="12.99"/>
    <n v="447"/>
    <n v="5806.53"/>
    <x v="2"/>
    <x v="1"/>
    <s v="Tom Jackson"/>
    <s v="London"/>
  </r>
  <r>
    <n v="10546"/>
    <x v="19"/>
    <x v="4"/>
    <n v="9.9499999999999993"/>
    <n v="202"/>
    <n v="2009.8999999999999"/>
    <x v="2"/>
    <x v="1"/>
    <s v="Tom Jackson"/>
    <s v="London"/>
  </r>
  <r>
    <n v="10547"/>
    <x v="19"/>
    <x v="0"/>
    <n v="3.49"/>
    <n v="631"/>
    <n v="2202.19"/>
    <x v="2"/>
    <x v="1"/>
    <s v="Tom Jackson"/>
    <s v="London"/>
  </r>
  <r>
    <n v="10548"/>
    <x v="19"/>
    <x v="1"/>
    <n v="2.95"/>
    <n v="746"/>
    <n v="2200.7000000000003"/>
    <x v="2"/>
    <x v="1"/>
    <s v="Tom Jackson"/>
    <s v="London"/>
  </r>
  <r>
    <n v="10549"/>
    <x v="19"/>
    <x v="2"/>
    <n v="4.99"/>
    <n v="201"/>
    <n v="1002.99"/>
    <x v="2"/>
    <x v="1"/>
    <s v="Tom Jackson"/>
    <s v="London"/>
  </r>
  <r>
    <n v="10550"/>
    <x v="20"/>
    <x v="3"/>
    <n v="12.99"/>
    <n v="462"/>
    <n v="6001.38"/>
    <x v="2"/>
    <x v="1"/>
    <s v="Tom Jackson"/>
    <s v="London"/>
  </r>
  <r>
    <n v="10551"/>
    <x v="20"/>
    <x v="4"/>
    <n v="9.9499999999999993"/>
    <n v="202"/>
    <n v="2009.8999999999999"/>
    <x v="2"/>
    <x v="1"/>
    <s v="Tom Jackson"/>
    <s v="London"/>
  </r>
  <r>
    <n v="10552"/>
    <x v="20"/>
    <x v="0"/>
    <n v="3.49"/>
    <n v="631"/>
    <n v="2202.19"/>
    <x v="0"/>
    <x v="1"/>
    <s v="Tom Jackson"/>
    <s v="London"/>
  </r>
  <r>
    <n v="10553"/>
    <x v="20"/>
    <x v="1"/>
    <n v="2.95"/>
    <n v="746"/>
    <n v="2200.7000000000003"/>
    <x v="0"/>
    <x v="1"/>
    <s v="Tom Jackson"/>
    <s v="London"/>
  </r>
  <r>
    <n v="10554"/>
    <x v="20"/>
    <x v="2"/>
    <n v="4.99"/>
    <n v="201"/>
    <n v="1002.99"/>
    <x v="0"/>
    <x v="1"/>
    <s v="Tom Jackson"/>
    <s v="London"/>
  </r>
  <r>
    <n v="10555"/>
    <x v="21"/>
    <x v="3"/>
    <n v="12.99"/>
    <n v="478"/>
    <n v="6209.22"/>
    <x v="0"/>
    <x v="1"/>
    <s v="Tom Jackson"/>
    <s v="London"/>
  </r>
  <r>
    <n v="10556"/>
    <x v="21"/>
    <x v="4"/>
    <n v="9.9499999999999993"/>
    <n v="202"/>
    <n v="2009.8999999999999"/>
    <x v="0"/>
    <x v="1"/>
    <s v="Tom Jackson"/>
    <s v="London"/>
  </r>
  <r>
    <n v="10557"/>
    <x v="21"/>
    <x v="0"/>
    <n v="3.49"/>
    <n v="631"/>
    <n v="2202.19"/>
    <x v="0"/>
    <x v="1"/>
    <s v="Tom Jackson"/>
    <s v="London"/>
  </r>
  <r>
    <n v="10558"/>
    <x v="21"/>
    <x v="1"/>
    <n v="2.95"/>
    <n v="678"/>
    <n v="2000.1000000000001"/>
    <x v="0"/>
    <x v="1"/>
    <s v="Tom Jackson"/>
    <s v="London"/>
  </r>
  <r>
    <n v="10559"/>
    <x v="21"/>
    <x v="2"/>
    <n v="4.99"/>
    <n v="201"/>
    <n v="1002.99"/>
    <x v="0"/>
    <x v="1"/>
    <s v="Tom Jackson"/>
    <s v="London"/>
  </r>
  <r>
    <n v="10560"/>
    <x v="22"/>
    <x v="3"/>
    <n v="12.99"/>
    <n v="478"/>
    <n v="6209.22"/>
    <x v="0"/>
    <x v="1"/>
    <s v="Tom Jackson"/>
    <s v="London"/>
  </r>
  <r>
    <n v="10561"/>
    <x v="22"/>
    <x v="4"/>
    <n v="9.9499999999999993"/>
    <n v="202"/>
    <n v="2009.8999999999999"/>
    <x v="0"/>
    <x v="1"/>
    <s v="Tom Jackson"/>
    <s v="London"/>
  </r>
  <r>
    <n v="10562"/>
    <x v="22"/>
    <x v="0"/>
    <n v="3.49"/>
    <n v="631"/>
    <n v="2202.19"/>
    <x v="0"/>
    <x v="1"/>
    <s v="Tom Jackson"/>
    <s v="London"/>
  </r>
  <r>
    <n v="10563"/>
    <x v="22"/>
    <x v="1"/>
    <n v="2.95"/>
    <n v="678"/>
    <n v="2000.1000000000001"/>
    <x v="0"/>
    <x v="1"/>
    <s v="Tom Jackson"/>
    <s v="London"/>
  </r>
  <r>
    <n v="10564"/>
    <x v="22"/>
    <x v="2"/>
    <n v="4.99"/>
    <n v="201"/>
    <n v="1002.99"/>
    <x v="0"/>
    <x v="1"/>
    <s v="Tom Jackson"/>
    <s v="London"/>
  </r>
  <r>
    <n v="10565"/>
    <x v="23"/>
    <x v="3"/>
    <n v="12.99"/>
    <n v="493"/>
    <n v="6404.07"/>
    <x v="0"/>
    <x v="1"/>
    <s v="Tom Jackson"/>
    <s v="London"/>
  </r>
  <r>
    <n v="10566"/>
    <x v="23"/>
    <x v="4"/>
    <n v="9.9499999999999993"/>
    <n v="202"/>
    <n v="2009.8999999999999"/>
    <x v="0"/>
    <x v="1"/>
    <s v="Tom Jackson"/>
    <s v="London"/>
  </r>
  <r>
    <n v="10567"/>
    <x v="23"/>
    <x v="0"/>
    <n v="3.49"/>
    <n v="631"/>
    <n v="2202.19"/>
    <x v="0"/>
    <x v="1"/>
    <s v="Tom Jackson"/>
    <s v="London"/>
  </r>
  <r>
    <n v="10568"/>
    <x v="23"/>
    <x v="1"/>
    <n v="2.95"/>
    <n v="678"/>
    <n v="2000.1000000000001"/>
    <x v="0"/>
    <x v="1"/>
    <s v="Tom Jackson"/>
    <s v="London"/>
  </r>
  <r>
    <n v="10569"/>
    <x v="23"/>
    <x v="2"/>
    <n v="4.99"/>
    <n v="201"/>
    <n v="1002.99"/>
    <x v="0"/>
    <x v="1"/>
    <s v="Tom Jackson"/>
    <s v="London"/>
  </r>
  <r>
    <n v="10570"/>
    <x v="24"/>
    <x v="3"/>
    <n v="12.99"/>
    <n v="493"/>
    <n v="6404.07"/>
    <x v="0"/>
    <x v="1"/>
    <s v="Tom Jackson"/>
    <s v="London"/>
  </r>
  <r>
    <n v="10571"/>
    <x v="24"/>
    <x v="4"/>
    <n v="9.9499999999999993"/>
    <n v="202"/>
    <n v="2009.8999999999999"/>
    <x v="0"/>
    <x v="1"/>
    <s v="Tom Jackson"/>
    <s v="London"/>
  </r>
  <r>
    <n v="10572"/>
    <x v="24"/>
    <x v="0"/>
    <n v="3.49"/>
    <n v="574"/>
    <n v="2003.2600000000002"/>
    <x v="0"/>
    <x v="1"/>
    <s v="Remy Monet"/>
    <s v="Paris"/>
  </r>
  <r>
    <n v="10573"/>
    <x v="24"/>
    <x v="1"/>
    <n v="2.95"/>
    <n v="678"/>
    <n v="2000.1000000000001"/>
    <x v="0"/>
    <x v="1"/>
    <s v="Remy Monet"/>
    <s v="Paris"/>
  </r>
  <r>
    <n v="10574"/>
    <x v="24"/>
    <x v="2"/>
    <n v="4.99"/>
    <n v="201"/>
    <n v="1002.99"/>
    <x v="0"/>
    <x v="1"/>
    <s v="Remy Monet"/>
    <s v="Paris"/>
  </r>
  <r>
    <n v="10575"/>
    <x v="25"/>
    <x v="3"/>
    <n v="12.99"/>
    <n v="524"/>
    <n v="6806.76"/>
    <x v="0"/>
    <x v="1"/>
    <s v="Remy Monet"/>
    <s v="Paris"/>
  </r>
  <r>
    <n v="10576"/>
    <x v="25"/>
    <x v="4"/>
    <n v="9.9499999999999993"/>
    <n v="202"/>
    <n v="2009.8999999999999"/>
    <x v="0"/>
    <x v="1"/>
    <s v="Remy Monet"/>
    <s v="Paris"/>
  </r>
  <r>
    <n v="10577"/>
    <x v="25"/>
    <x v="0"/>
    <n v="3.49"/>
    <n v="631"/>
    <n v="2202.19"/>
    <x v="0"/>
    <x v="1"/>
    <s v="Remy Monet"/>
    <s v="Paris"/>
  </r>
  <r>
    <n v="10578"/>
    <x v="25"/>
    <x v="1"/>
    <n v="2.95"/>
    <n v="678"/>
    <n v="2000.1000000000001"/>
    <x v="0"/>
    <x v="1"/>
    <s v="Remy Monet"/>
    <s v="Paris"/>
  </r>
  <r>
    <n v="10579"/>
    <x v="25"/>
    <x v="2"/>
    <n v="4.99"/>
    <n v="201"/>
    <n v="1002.99"/>
    <x v="0"/>
    <x v="1"/>
    <s v="Remy Monet"/>
    <s v="Paris"/>
  </r>
  <r>
    <n v="10580"/>
    <x v="26"/>
    <x v="3"/>
    <n v="12.99"/>
    <n v="524"/>
    <n v="6806.76"/>
    <x v="0"/>
    <x v="1"/>
    <s v="Remy Monet"/>
    <s v="Paris"/>
  </r>
  <r>
    <n v="10581"/>
    <x v="26"/>
    <x v="4"/>
    <n v="9.9499999999999993"/>
    <n v="202"/>
    <n v="2009.8999999999999"/>
    <x v="0"/>
    <x v="1"/>
    <s v="Remy Monet"/>
    <s v="Paris"/>
  </r>
  <r>
    <n v="10582"/>
    <x v="26"/>
    <x v="0"/>
    <n v="3.49"/>
    <n v="631"/>
    <n v="2202.19"/>
    <x v="0"/>
    <x v="1"/>
    <s v="Tom Jackson"/>
    <s v="London"/>
  </r>
  <r>
    <n v="10583"/>
    <x v="26"/>
    <x v="1"/>
    <n v="2.95"/>
    <n v="678"/>
    <n v="2000.1000000000001"/>
    <x v="0"/>
    <x v="1"/>
    <s v="Tom Jackson"/>
    <s v="London"/>
  </r>
  <r>
    <n v="10584"/>
    <x v="26"/>
    <x v="2"/>
    <n v="4.99"/>
    <n v="201"/>
    <n v="1002.99"/>
    <x v="0"/>
    <x v="1"/>
    <s v="Tom Jackson"/>
    <s v="London"/>
  </r>
  <r>
    <n v="10585"/>
    <x v="27"/>
    <x v="3"/>
    <n v="12.99"/>
    <n v="539"/>
    <n v="7001.61"/>
    <x v="0"/>
    <x v="1"/>
    <s v="Tom Jackson"/>
    <s v="London"/>
  </r>
  <r>
    <n v="10586"/>
    <x v="27"/>
    <x v="4"/>
    <n v="9.9499999999999993"/>
    <n v="202"/>
    <n v="2009.8999999999999"/>
    <x v="0"/>
    <x v="1"/>
    <s v="Tom Jackson"/>
    <s v="London"/>
  </r>
  <r>
    <n v="10590"/>
    <x v="28"/>
    <x v="3"/>
    <n v="12.99"/>
    <n v="555"/>
    <n v="7209.45"/>
    <x v="0"/>
    <x v="1"/>
    <s v="Tom Jackson"/>
    <s v="London"/>
  </r>
  <r>
    <n v="10591"/>
    <x v="28"/>
    <x v="4"/>
    <n v="9.9499999999999993"/>
    <n v="202"/>
    <n v="2009.8999999999999"/>
    <x v="0"/>
    <x v="1"/>
    <s v="Tom Jackson"/>
    <s v="London"/>
  </r>
  <r>
    <n v="10592"/>
    <x v="28"/>
    <x v="0"/>
    <n v="3.49"/>
    <n v="574"/>
    <n v="2003.2600000000002"/>
    <x v="0"/>
    <x v="1"/>
    <s v="Tom Jackson"/>
    <s v="London"/>
  </r>
  <r>
    <n v="10593"/>
    <x v="28"/>
    <x v="1"/>
    <n v="2.95"/>
    <n v="678"/>
    <n v="2000.1000000000001"/>
    <x v="0"/>
    <x v="1"/>
    <s v="Tom Jackson"/>
    <s v="London"/>
  </r>
  <r>
    <n v="10594"/>
    <x v="28"/>
    <x v="2"/>
    <n v="4.99"/>
    <n v="201"/>
    <n v="1002.99"/>
    <x v="0"/>
    <x v="1"/>
    <s v="Tom Jackson"/>
    <s v="London"/>
  </r>
  <r>
    <n v="10595"/>
    <x v="29"/>
    <x v="3"/>
    <n v="12.99"/>
    <n v="539"/>
    <n v="7001.61"/>
    <x v="0"/>
    <x v="1"/>
    <s v="Tom Jackson"/>
    <s v="London"/>
  </r>
  <r>
    <n v="10596"/>
    <x v="29"/>
    <x v="4"/>
    <n v="9.9499999999999993"/>
    <n v="202"/>
    <n v="2009.8999999999999"/>
    <x v="0"/>
    <x v="1"/>
    <s v="Tom Jackson"/>
    <s v="London"/>
  </r>
  <r>
    <n v="10597"/>
    <x v="29"/>
    <x v="0"/>
    <n v="3.49"/>
    <n v="574"/>
    <n v="2003.2600000000002"/>
    <x v="0"/>
    <x v="1"/>
    <s v="Tom Jackson"/>
    <s v="London"/>
  </r>
  <r>
    <n v="10598"/>
    <x v="29"/>
    <x v="1"/>
    <n v="2.95"/>
    <n v="678"/>
    <n v="2000.1000000000001"/>
    <x v="0"/>
    <x v="1"/>
    <s v="Tom Jackson"/>
    <s v="London"/>
  </r>
  <r>
    <n v="10599"/>
    <x v="29"/>
    <x v="2"/>
    <n v="4.99"/>
    <n v="201"/>
    <n v="1002.99"/>
    <x v="0"/>
    <x v="1"/>
    <s v="Tom Jackson"/>
    <s v="London"/>
  </r>
  <r>
    <n v="10600"/>
    <x v="30"/>
    <x v="3"/>
    <n v="12.99"/>
    <n v="524"/>
    <n v="6806.76"/>
    <x v="0"/>
    <x v="1"/>
    <s v="Tom Jackson"/>
    <s v="London"/>
  </r>
  <r>
    <n v="10601"/>
    <x v="30"/>
    <x v="4"/>
    <n v="9.9499999999999993"/>
    <n v="202"/>
    <n v="2009.8999999999999"/>
    <x v="0"/>
    <x v="1"/>
    <s v="Tom Jackson"/>
    <s v="London"/>
  </r>
  <r>
    <n v="10602"/>
    <x v="30"/>
    <x v="0"/>
    <n v="3.49"/>
    <n v="631"/>
    <n v="2202.19"/>
    <x v="0"/>
    <x v="2"/>
    <s v="Tom Jackson"/>
    <s v="London"/>
  </r>
  <r>
    <n v="10603"/>
    <x v="30"/>
    <x v="1"/>
    <n v="2.95"/>
    <n v="678"/>
    <n v="2000.1000000000001"/>
    <x v="0"/>
    <x v="2"/>
    <s v="Tom Jackson"/>
    <s v="London"/>
  </r>
  <r>
    <n v="10604"/>
    <x v="30"/>
    <x v="2"/>
    <n v="4.99"/>
    <n v="201"/>
    <n v="1002.99"/>
    <x v="0"/>
    <x v="2"/>
    <s v="Tom Jackson"/>
    <s v="London"/>
  </r>
  <r>
    <n v="10605"/>
    <x v="31"/>
    <x v="3"/>
    <n v="12.99"/>
    <n v="539"/>
    <n v="7001.61"/>
    <x v="0"/>
    <x v="2"/>
    <s v="Tom Jackson"/>
    <s v="London"/>
  </r>
  <r>
    <n v="10606"/>
    <x v="31"/>
    <x v="4"/>
    <n v="9.9499999999999993"/>
    <n v="202"/>
    <n v="2009.8999999999999"/>
    <x v="0"/>
    <x v="2"/>
    <s v="Tom Jackson"/>
    <s v="London"/>
  </r>
  <r>
    <n v="10607"/>
    <x v="31"/>
    <x v="0"/>
    <n v="3.49"/>
    <n v="631"/>
    <n v="2202.19"/>
    <x v="0"/>
    <x v="2"/>
    <s v="Tom Jackson"/>
    <s v="London"/>
  </r>
  <r>
    <n v="10608"/>
    <x v="31"/>
    <x v="1"/>
    <n v="2.95"/>
    <n v="678"/>
    <n v="2000.1000000000001"/>
    <x v="0"/>
    <x v="0"/>
    <s v="Tom Jackson"/>
    <s v="London"/>
  </r>
  <r>
    <n v="10609"/>
    <x v="31"/>
    <x v="2"/>
    <n v="4.99"/>
    <n v="201"/>
    <n v="1002.99"/>
    <x v="0"/>
    <x v="0"/>
    <s v="Tom Jackson"/>
    <s v="London"/>
  </r>
  <r>
    <n v="10610"/>
    <x v="32"/>
    <x v="3"/>
    <n v="12.99"/>
    <n v="570"/>
    <n v="7404.3"/>
    <x v="0"/>
    <x v="0"/>
    <s v="Tom Jackson"/>
    <s v="London"/>
  </r>
  <r>
    <n v="10611"/>
    <x v="32"/>
    <x v="4"/>
    <n v="9.9499999999999993"/>
    <n v="202"/>
    <n v="2009.8999999999999"/>
    <x v="0"/>
    <x v="0"/>
    <s v="Tom Jackson"/>
    <s v="London"/>
  </r>
  <r>
    <n v="10612"/>
    <x v="32"/>
    <x v="0"/>
    <n v="3.49"/>
    <n v="631"/>
    <n v="2202.19"/>
    <x v="0"/>
    <x v="0"/>
    <s v="Tom Jackson"/>
    <s v="London"/>
  </r>
  <r>
    <n v="10613"/>
    <x v="32"/>
    <x v="1"/>
    <n v="2.95"/>
    <n v="678"/>
    <n v="2000.1000000000001"/>
    <x v="0"/>
    <x v="0"/>
    <s v="Tom Jackson"/>
    <s v="London"/>
  </r>
  <r>
    <n v="10614"/>
    <x v="32"/>
    <x v="2"/>
    <n v="4.99"/>
    <n v="201"/>
    <n v="1002.99"/>
    <x v="0"/>
    <x v="0"/>
    <s v="Tom Jackson"/>
    <s v="London"/>
  </r>
  <r>
    <n v="10615"/>
    <x v="33"/>
    <x v="3"/>
    <n v="12.99"/>
    <n v="570"/>
    <n v="7404.3"/>
    <x v="0"/>
    <x v="0"/>
    <s v="Tom Jackson"/>
    <s v="London"/>
  </r>
  <r>
    <n v="10616"/>
    <x v="33"/>
    <x v="4"/>
    <n v="9.9499999999999993"/>
    <n v="202"/>
    <n v="2009.8999999999999"/>
    <x v="0"/>
    <x v="0"/>
    <s v="Tom Jackson"/>
    <s v="London"/>
  </r>
  <r>
    <n v="10617"/>
    <x v="33"/>
    <x v="0"/>
    <n v="3.49"/>
    <n v="631"/>
    <n v="2202.19"/>
    <x v="0"/>
    <x v="0"/>
    <s v="Tom Jackson"/>
    <s v="London"/>
  </r>
  <r>
    <n v="10618"/>
    <x v="33"/>
    <x v="1"/>
    <n v="2.95"/>
    <n v="678"/>
    <n v="2000.1000000000001"/>
    <x v="0"/>
    <x v="0"/>
    <s v="Tom Jackson"/>
    <s v="London"/>
  </r>
  <r>
    <n v="10619"/>
    <x v="33"/>
    <x v="2"/>
    <n v="4.99"/>
    <n v="201"/>
    <n v="1002.99"/>
    <x v="0"/>
    <x v="0"/>
    <s v="Tom Jackson"/>
    <s v="London"/>
  </r>
  <r>
    <n v="10620"/>
    <x v="34"/>
    <x v="3"/>
    <n v="12.99"/>
    <n v="586"/>
    <n v="7612.14"/>
    <x v="0"/>
    <x v="0"/>
    <s v="Tom Jackson"/>
    <s v="London"/>
  </r>
  <r>
    <n v="10621"/>
    <x v="34"/>
    <x v="4"/>
    <n v="9.9499999999999993"/>
    <n v="202"/>
    <n v="2009.8999999999999"/>
    <x v="0"/>
    <x v="0"/>
    <s v="Tom Jackson"/>
    <s v="London"/>
  </r>
  <r>
    <n v="10622"/>
    <x v="34"/>
    <x v="0"/>
    <n v="3.49"/>
    <n v="631"/>
    <n v="2202.19"/>
    <x v="0"/>
    <x v="0"/>
    <s v="Tom Jackson"/>
    <s v="London"/>
  </r>
  <r>
    <n v="10623"/>
    <x v="34"/>
    <x v="1"/>
    <n v="2.95"/>
    <n v="746"/>
    <n v="2200.7000000000003"/>
    <x v="0"/>
    <x v="0"/>
    <s v="Tom Jackson"/>
    <s v="London"/>
  </r>
  <r>
    <n v="10624"/>
    <x v="34"/>
    <x v="2"/>
    <n v="4.99"/>
    <n v="201"/>
    <n v="1002.99"/>
    <x v="0"/>
    <x v="0"/>
    <s v="Tom Jackson"/>
    <s v="London"/>
  </r>
  <r>
    <n v="10625"/>
    <x v="35"/>
    <x v="3"/>
    <n v="12.99"/>
    <n v="570"/>
    <n v="7404.3"/>
    <x v="0"/>
    <x v="0"/>
    <s v="Tom Jackson"/>
    <s v="London"/>
  </r>
  <r>
    <n v="10626"/>
    <x v="35"/>
    <x v="4"/>
    <n v="9.9499999999999993"/>
    <n v="202"/>
    <n v="2009.8999999999999"/>
    <x v="0"/>
    <x v="0"/>
    <s v="Tom Jackson"/>
    <s v="London"/>
  </r>
  <r>
    <n v="10627"/>
    <x v="35"/>
    <x v="0"/>
    <n v="3.49"/>
    <n v="631"/>
    <n v="2202.19"/>
    <x v="0"/>
    <x v="0"/>
    <s v="Tom Jackson"/>
    <s v="London"/>
  </r>
  <r>
    <n v="10628"/>
    <x v="35"/>
    <x v="1"/>
    <n v="2.95"/>
    <n v="678"/>
    <n v="2000.1000000000001"/>
    <x v="0"/>
    <x v="0"/>
    <s v="Joao Silva"/>
    <s v="Lisbon"/>
  </r>
  <r>
    <n v="10629"/>
    <x v="35"/>
    <x v="2"/>
    <n v="4.99"/>
    <n v="201"/>
    <n v="1002.99"/>
    <x v="0"/>
    <x v="0"/>
    <s v="Joao Silva"/>
    <s v="Lisbon"/>
  </r>
  <r>
    <n v="10630"/>
    <x v="36"/>
    <x v="3"/>
    <n v="12.99"/>
    <n v="570"/>
    <n v="7404.3"/>
    <x v="0"/>
    <x v="2"/>
    <s v="Joao Silva"/>
    <s v="Lisbon"/>
  </r>
  <r>
    <n v="10631"/>
    <x v="36"/>
    <x v="4"/>
    <n v="9.9499999999999993"/>
    <n v="202"/>
    <n v="2009.8999999999999"/>
    <x v="0"/>
    <x v="0"/>
    <s v="Joao Silva"/>
    <s v="Lisbon"/>
  </r>
  <r>
    <n v="10632"/>
    <x v="36"/>
    <x v="0"/>
    <n v="3.49"/>
    <n v="631"/>
    <n v="2202.19"/>
    <x v="0"/>
    <x v="0"/>
    <s v="Joao Silva"/>
    <s v="Lisbon"/>
  </r>
  <r>
    <n v="10633"/>
    <x v="36"/>
    <x v="1"/>
    <n v="2.95"/>
    <n v="678"/>
    <n v="2000.1000000000001"/>
    <x v="0"/>
    <x v="0"/>
    <s v="Joao Silva"/>
    <s v="Lisbon"/>
  </r>
  <r>
    <n v="10634"/>
    <x v="36"/>
    <x v="2"/>
    <n v="4.99"/>
    <n v="201"/>
    <n v="1002.99"/>
    <x v="0"/>
    <x v="0"/>
    <s v="Joao Silva"/>
    <s v="Lisbon"/>
  </r>
  <r>
    <n v="10635"/>
    <x v="37"/>
    <x v="3"/>
    <n v="12.99"/>
    <n v="555"/>
    <n v="7209.45"/>
    <x v="0"/>
    <x v="0"/>
    <s v="Joao Silva"/>
    <s v="Lisbon"/>
  </r>
  <r>
    <n v="10636"/>
    <x v="37"/>
    <x v="4"/>
    <n v="9.9499999999999993"/>
    <n v="222"/>
    <n v="2208.8999999999996"/>
    <x v="0"/>
    <x v="0"/>
    <s v="Joao Silva"/>
    <s v="Lisbon"/>
  </r>
  <r>
    <n v="10637"/>
    <x v="37"/>
    <x v="0"/>
    <n v="3.49"/>
    <n v="631"/>
    <n v="2202.19"/>
    <x v="0"/>
    <x v="0"/>
    <s v="Joao Silva"/>
    <s v="Lisbon"/>
  </r>
  <r>
    <n v="10638"/>
    <x v="37"/>
    <x v="1"/>
    <n v="2.95"/>
    <n v="678"/>
    <n v="2000.1000000000001"/>
    <x v="0"/>
    <x v="0"/>
    <s v="Joao Silva"/>
    <s v="Lisbon"/>
  </r>
  <r>
    <n v="10639"/>
    <x v="37"/>
    <x v="2"/>
    <n v="4.99"/>
    <n v="201"/>
    <n v="1002.99"/>
    <x v="0"/>
    <x v="0"/>
    <s v="Joao Silva"/>
    <s v="Lisbon"/>
  </r>
  <r>
    <n v="10640"/>
    <x v="38"/>
    <x v="3"/>
    <n v="12.99"/>
    <n v="539"/>
    <n v="7001.61"/>
    <x v="0"/>
    <x v="0"/>
    <s v="Joao Silva"/>
    <s v="Lisbon"/>
  </r>
  <r>
    <n v="10641"/>
    <x v="38"/>
    <x v="4"/>
    <n v="9.9499999999999993"/>
    <n v="222"/>
    <n v="2208.8999999999996"/>
    <x v="0"/>
    <x v="0"/>
    <s v="Joao Silva"/>
    <s v="Lisbon"/>
  </r>
  <r>
    <n v="10642"/>
    <x v="38"/>
    <x v="0"/>
    <n v="3.49"/>
    <n v="631"/>
    <n v="2202.19"/>
    <x v="0"/>
    <x v="2"/>
    <s v="Joao Silva"/>
    <s v="Lisbon"/>
  </r>
  <r>
    <n v="10643"/>
    <x v="38"/>
    <x v="1"/>
    <n v="2.95"/>
    <n v="678"/>
    <n v="2000.1000000000001"/>
    <x v="0"/>
    <x v="2"/>
    <s v="Joao Silva"/>
    <s v="Lisbon"/>
  </r>
  <r>
    <n v="10644"/>
    <x v="38"/>
    <x v="2"/>
    <n v="4.99"/>
    <n v="201"/>
    <n v="1002.99"/>
    <x v="0"/>
    <x v="2"/>
    <s v="Joao Silva"/>
    <s v="Lisbon"/>
  </r>
  <r>
    <n v="10645"/>
    <x v="39"/>
    <x v="3"/>
    <n v="12.99"/>
    <n v="570"/>
    <n v="7404.3"/>
    <x v="0"/>
    <x v="2"/>
    <s v="Joao Silva"/>
    <s v="Lisbon"/>
  </r>
  <r>
    <n v="10646"/>
    <x v="39"/>
    <x v="4"/>
    <n v="9.9499999999999993"/>
    <n v="222"/>
    <n v="2208.8999999999996"/>
    <x v="0"/>
    <x v="2"/>
    <s v="Joao Silva"/>
    <s v="Lisbon"/>
  </r>
  <r>
    <n v="10647"/>
    <x v="39"/>
    <x v="0"/>
    <n v="3.49"/>
    <n v="631"/>
    <n v="2202.19"/>
    <x v="0"/>
    <x v="0"/>
    <s v="Joao Silva"/>
    <s v="Lisbon"/>
  </r>
  <r>
    <n v="10648"/>
    <x v="39"/>
    <x v="1"/>
    <n v="2.95"/>
    <n v="746"/>
    <n v="2200.7000000000003"/>
    <x v="0"/>
    <x v="0"/>
    <s v="Joao Silva"/>
    <s v="Lisbon"/>
  </r>
  <r>
    <n v="10649"/>
    <x v="39"/>
    <x v="2"/>
    <n v="4.99"/>
    <n v="201"/>
    <n v="1002.99"/>
    <x v="0"/>
    <x v="0"/>
    <s v="Joao Silva"/>
    <s v="Lisbon"/>
  </r>
  <r>
    <n v="10650"/>
    <x v="40"/>
    <x v="3"/>
    <n v="12.99"/>
    <n v="586"/>
    <n v="7612.14"/>
    <x v="0"/>
    <x v="0"/>
    <s v="Joao Silva"/>
    <s v="Lisbon"/>
  </r>
  <r>
    <n v="10651"/>
    <x v="40"/>
    <x v="4"/>
    <n v="9.9499999999999993"/>
    <n v="222"/>
    <n v="2208.8999999999996"/>
    <x v="0"/>
    <x v="0"/>
    <s v="Joao Silva"/>
    <s v="Lisbon"/>
  </r>
  <r>
    <n v="10652"/>
    <x v="40"/>
    <x v="0"/>
    <n v="3.49"/>
    <n v="688"/>
    <n v="2401.1200000000003"/>
    <x v="0"/>
    <x v="0"/>
    <s v="Joao Silva"/>
    <s v="Lisbon"/>
  </r>
  <r>
    <n v="10653"/>
    <x v="40"/>
    <x v="1"/>
    <n v="2.95"/>
    <n v="746"/>
    <n v="2200.7000000000003"/>
    <x v="0"/>
    <x v="0"/>
    <s v="Joao Silva"/>
    <s v="Lisbon"/>
  </r>
  <r>
    <n v="10654"/>
    <x v="40"/>
    <x v="2"/>
    <n v="4.99"/>
    <n v="201"/>
    <n v="1002.99"/>
    <x v="0"/>
    <x v="0"/>
    <s v="Joao Silva"/>
    <s v="Lisbon"/>
  </r>
  <r>
    <n v="10655"/>
    <x v="41"/>
    <x v="3"/>
    <n v="12.99"/>
    <n v="601"/>
    <n v="7806.99"/>
    <x v="0"/>
    <x v="0"/>
    <s v="Joao Silva"/>
    <s v="Lisbon"/>
  </r>
  <r>
    <n v="10656"/>
    <x v="41"/>
    <x v="4"/>
    <n v="9.9499999999999993"/>
    <n v="222"/>
    <n v="2208.8999999999996"/>
    <x v="0"/>
    <x v="0"/>
    <s v="Joao Silva"/>
    <s v="Lisbon"/>
  </r>
  <r>
    <n v="10657"/>
    <x v="41"/>
    <x v="0"/>
    <n v="3.49"/>
    <n v="688"/>
    <n v="2401.1200000000003"/>
    <x v="0"/>
    <x v="0"/>
    <s v="Joao Silva"/>
    <s v="Lisbon"/>
  </r>
  <r>
    <n v="10658"/>
    <x v="41"/>
    <x v="1"/>
    <n v="2.95"/>
    <n v="746"/>
    <n v="2200.7000000000003"/>
    <x v="0"/>
    <x v="2"/>
    <s v="Joao Silva"/>
    <s v="Lisbon"/>
  </r>
  <r>
    <n v="10659"/>
    <x v="41"/>
    <x v="2"/>
    <n v="4.99"/>
    <n v="201"/>
    <n v="1002.99"/>
    <x v="0"/>
    <x v="2"/>
    <s v="Joao Silva"/>
    <s v="Lisbon"/>
  </r>
  <r>
    <n v="10660"/>
    <x v="42"/>
    <x v="3"/>
    <n v="12.99"/>
    <n v="632"/>
    <n v="8209.68"/>
    <x v="1"/>
    <x v="2"/>
    <s v="Joao Silva"/>
    <s v="Lisbon"/>
  </r>
  <r>
    <n v="10661"/>
    <x v="42"/>
    <x v="4"/>
    <n v="9.9499999999999993"/>
    <n v="222"/>
    <n v="2208.8999999999996"/>
    <x v="1"/>
    <x v="2"/>
    <s v="Joao Silva"/>
    <s v="Lisbon"/>
  </r>
  <r>
    <n v="10662"/>
    <x v="42"/>
    <x v="0"/>
    <n v="3.49"/>
    <n v="631"/>
    <n v="2202.19"/>
    <x v="1"/>
    <x v="2"/>
    <s v="Joao Silva"/>
    <s v="Lisbon"/>
  </r>
  <r>
    <n v="10663"/>
    <x v="42"/>
    <x v="1"/>
    <n v="2.95"/>
    <n v="746"/>
    <n v="2200.7000000000003"/>
    <x v="1"/>
    <x v="2"/>
    <s v="Joao Silva"/>
    <s v="Lisbon"/>
  </r>
  <r>
    <n v="10664"/>
    <x v="42"/>
    <x v="2"/>
    <n v="4.99"/>
    <n v="201"/>
    <n v="1002.99"/>
    <x v="1"/>
    <x v="2"/>
    <s v="Joao Silva"/>
    <s v="Lisbon"/>
  </r>
  <r>
    <n v="10665"/>
    <x v="43"/>
    <x v="3"/>
    <n v="12.99"/>
    <n v="647"/>
    <n v="8404.5300000000007"/>
    <x v="1"/>
    <x v="2"/>
    <s v="Joao Silva"/>
    <s v="Lisbon"/>
  </r>
  <r>
    <n v="10666"/>
    <x v="43"/>
    <x v="4"/>
    <n v="9.9499999999999993"/>
    <n v="222"/>
    <n v="2208.8999999999996"/>
    <x v="1"/>
    <x v="2"/>
    <s v="Joao Silva"/>
    <s v="Lisbon"/>
  </r>
  <r>
    <n v="10667"/>
    <x v="43"/>
    <x v="0"/>
    <n v="3.49"/>
    <n v="631"/>
    <n v="2202.19"/>
    <x v="1"/>
    <x v="2"/>
    <s v="Joao Silva"/>
    <s v="Lisbon"/>
  </r>
  <r>
    <n v="10668"/>
    <x v="43"/>
    <x v="1"/>
    <n v="2.95"/>
    <n v="746"/>
    <n v="2200.7000000000003"/>
    <x v="1"/>
    <x v="2"/>
    <s v="Joao Silva"/>
    <s v="Lisbon"/>
  </r>
  <r>
    <n v="10669"/>
    <x v="43"/>
    <x v="2"/>
    <n v="4.99"/>
    <n v="201"/>
    <n v="1002.99"/>
    <x v="1"/>
    <x v="2"/>
    <s v="Joao Silva"/>
    <s v="Lisbon"/>
  </r>
  <r>
    <n v="10670"/>
    <x v="44"/>
    <x v="3"/>
    <n v="12.99"/>
    <n v="678"/>
    <n v="8807.2199999999993"/>
    <x v="1"/>
    <x v="2"/>
    <s v="Joao Silva"/>
    <s v="Lisbon"/>
  </r>
  <r>
    <n v="10671"/>
    <x v="44"/>
    <x v="4"/>
    <n v="9.9499999999999993"/>
    <n v="222"/>
    <n v="2208.8999999999996"/>
    <x v="1"/>
    <x v="2"/>
    <s v="Joao Silva"/>
    <s v="Lisbon"/>
  </r>
  <r>
    <n v="10672"/>
    <x v="44"/>
    <x v="0"/>
    <n v="3.49"/>
    <n v="631"/>
    <n v="2202.19"/>
    <x v="1"/>
    <x v="2"/>
    <s v="Joao Silva"/>
    <s v="Lisbon"/>
  </r>
  <r>
    <n v="10673"/>
    <x v="44"/>
    <x v="1"/>
    <n v="2.95"/>
    <n v="746"/>
    <n v="2200.7000000000003"/>
    <x v="1"/>
    <x v="2"/>
    <s v="Joao Silva"/>
    <s v="Lisbon"/>
  </r>
  <r>
    <n v="10674"/>
    <x v="44"/>
    <x v="2"/>
    <n v="4.99"/>
    <n v="201"/>
    <n v="1002.99"/>
    <x v="1"/>
    <x v="2"/>
    <s v="Joao Silva"/>
    <s v="Lisbon"/>
  </r>
  <r>
    <n v="10675"/>
    <x v="45"/>
    <x v="3"/>
    <n v="12.99"/>
    <n v="678"/>
    <n v="8807.2199999999993"/>
    <x v="1"/>
    <x v="2"/>
    <s v="Joao Silva"/>
    <s v="Lisbon"/>
  </r>
  <r>
    <n v="10676"/>
    <x v="45"/>
    <x v="4"/>
    <n v="9.9499999999999993"/>
    <n v="242"/>
    <n v="2407.8999999999996"/>
    <x v="1"/>
    <x v="2"/>
    <s v="Joao Silva"/>
    <s v="Lisbon"/>
  </r>
  <r>
    <n v="10677"/>
    <x v="45"/>
    <x v="0"/>
    <n v="3.49"/>
    <n v="631"/>
    <n v="2202.19"/>
    <x v="1"/>
    <x v="2"/>
    <s v="Joao Silva"/>
    <s v="Lisbon"/>
  </r>
  <r>
    <n v="10678"/>
    <x v="45"/>
    <x v="1"/>
    <n v="2.95"/>
    <n v="746"/>
    <n v="2200.7000000000003"/>
    <x v="1"/>
    <x v="2"/>
    <s v="Joao Silva"/>
    <s v="Lisbon"/>
  </r>
  <r>
    <n v="10679"/>
    <x v="45"/>
    <x v="2"/>
    <n v="4.99"/>
    <n v="201"/>
    <n v="1002.99"/>
    <x v="1"/>
    <x v="2"/>
    <s v="Joao Silva"/>
    <s v="Lisbon"/>
  </r>
  <r>
    <n v="10680"/>
    <x v="46"/>
    <x v="3"/>
    <n v="12.99"/>
    <n v="647"/>
    <n v="8404.5300000000007"/>
    <x v="1"/>
    <x v="2"/>
    <s v="Joao Silva"/>
    <s v="Lisbon"/>
  </r>
  <r>
    <n v="10681"/>
    <x v="46"/>
    <x v="4"/>
    <n v="9.9499999999999993"/>
    <n v="242"/>
    <n v="2407.8999999999996"/>
    <x v="1"/>
    <x v="2"/>
    <s v="Joao Silva"/>
    <s v="Lisbon"/>
  </r>
  <r>
    <n v="10682"/>
    <x v="46"/>
    <x v="0"/>
    <n v="3.49"/>
    <n v="631"/>
    <n v="2202.19"/>
    <x v="1"/>
    <x v="2"/>
    <s v="Joao Silva"/>
    <s v="Lisbon"/>
  </r>
  <r>
    <n v="10683"/>
    <x v="46"/>
    <x v="1"/>
    <n v="2.95"/>
    <n v="678"/>
    <n v="2000.1000000000001"/>
    <x v="1"/>
    <x v="2"/>
    <s v="Joao Silva"/>
    <s v="Lisbon"/>
  </r>
  <r>
    <n v="10684"/>
    <x v="46"/>
    <x v="2"/>
    <n v="4.99"/>
    <n v="201"/>
    <n v="1002.99"/>
    <x v="1"/>
    <x v="2"/>
    <s v="Joao Silva"/>
    <s v="Lisbon"/>
  </r>
  <r>
    <n v="10685"/>
    <x v="47"/>
    <x v="3"/>
    <n v="12.99"/>
    <n v="678"/>
    <n v="8807.2199999999993"/>
    <x v="1"/>
    <x v="2"/>
    <s v="Joao Silva"/>
    <s v="Lisbon"/>
  </r>
  <r>
    <n v="10686"/>
    <x v="47"/>
    <x v="4"/>
    <n v="9.9499999999999993"/>
    <n v="242"/>
    <n v="2407.8999999999996"/>
    <x v="1"/>
    <x v="2"/>
    <s v="Joao Silva"/>
    <s v="Lisbon"/>
  </r>
  <r>
    <n v="10687"/>
    <x v="47"/>
    <x v="0"/>
    <n v="3.49"/>
    <n v="631"/>
    <n v="2202.19"/>
    <x v="1"/>
    <x v="2"/>
    <s v="Walter Muller"/>
    <s v="Berlin"/>
  </r>
  <r>
    <n v="10688"/>
    <x v="47"/>
    <x v="1"/>
    <n v="2.95"/>
    <n v="678"/>
    <n v="2000.1000000000001"/>
    <x v="1"/>
    <x v="2"/>
    <s v="Walter Muller"/>
    <s v="Berlin"/>
  </r>
  <r>
    <n v="10689"/>
    <x v="47"/>
    <x v="2"/>
    <n v="4.99"/>
    <n v="201"/>
    <n v="1002.99"/>
    <x v="1"/>
    <x v="2"/>
    <s v="Walter Muller"/>
    <s v="Berlin"/>
  </r>
  <r>
    <n v="10690"/>
    <x v="48"/>
    <x v="3"/>
    <n v="12.99"/>
    <n v="678"/>
    <n v="8807.2199999999993"/>
    <x v="1"/>
    <x v="2"/>
    <s v="Walter Muller"/>
    <s v="Berlin"/>
  </r>
  <r>
    <n v="10691"/>
    <x v="48"/>
    <x v="4"/>
    <n v="9.9499999999999993"/>
    <n v="262"/>
    <n v="2606.8999999999996"/>
    <x v="1"/>
    <x v="2"/>
    <s v="Walter Muller"/>
    <s v="Berlin"/>
  </r>
  <r>
    <n v="10692"/>
    <x v="48"/>
    <x v="0"/>
    <n v="3.49"/>
    <n v="631"/>
    <n v="2202.19"/>
    <x v="1"/>
    <x v="2"/>
    <s v="Walter Muller"/>
    <s v="Berlin"/>
  </r>
  <r>
    <n v="10693"/>
    <x v="48"/>
    <x v="1"/>
    <n v="2.95"/>
    <n v="678"/>
    <n v="2000.1000000000001"/>
    <x v="1"/>
    <x v="2"/>
    <s v="Walter Muller"/>
    <s v="Berlin"/>
  </r>
  <r>
    <n v="10694"/>
    <x v="48"/>
    <x v="2"/>
    <n v="4.99"/>
    <n v="201"/>
    <n v="1002.99"/>
    <x v="1"/>
    <x v="2"/>
    <s v="Walter Muller"/>
    <s v="Berlin"/>
  </r>
  <r>
    <n v="10695"/>
    <x v="49"/>
    <x v="3"/>
    <n v="12.99"/>
    <n v="693"/>
    <n v="9002.07"/>
    <x v="1"/>
    <x v="2"/>
    <s v="Walter Muller"/>
    <s v="Berlin"/>
  </r>
  <r>
    <n v="10696"/>
    <x v="49"/>
    <x v="4"/>
    <n v="9.9499999999999993"/>
    <n v="282"/>
    <n v="2805.8999999999996"/>
    <x v="1"/>
    <x v="2"/>
    <s v="Walter Muller"/>
    <s v="Berlin"/>
  </r>
  <r>
    <n v="10697"/>
    <x v="49"/>
    <x v="0"/>
    <n v="3.49"/>
    <n v="631"/>
    <n v="2202.19"/>
    <x v="1"/>
    <x v="2"/>
    <s v="Walter Muller"/>
    <s v="Berlin"/>
  </r>
  <r>
    <n v="10698"/>
    <x v="49"/>
    <x v="1"/>
    <n v="2.95"/>
    <n v="678"/>
    <n v="2000.1000000000001"/>
    <x v="1"/>
    <x v="2"/>
    <s v="Walter Muller"/>
    <s v="Berlin"/>
  </r>
  <r>
    <n v="10699"/>
    <x v="49"/>
    <x v="2"/>
    <n v="4.99"/>
    <n v="201"/>
    <n v="1002.99"/>
    <x v="1"/>
    <x v="2"/>
    <s v="Walter Muller"/>
    <s v="Berlin"/>
  </r>
  <r>
    <n v="10700"/>
    <x v="50"/>
    <x v="3"/>
    <n v="12.99"/>
    <n v="693"/>
    <n v="9002.07"/>
    <x v="1"/>
    <x v="2"/>
    <s v="Walter Muller"/>
    <s v="Berlin"/>
  </r>
  <r>
    <n v="10701"/>
    <x v="50"/>
    <x v="4"/>
    <n v="9.9499999999999993"/>
    <n v="282"/>
    <n v="2805.8999999999996"/>
    <x v="1"/>
    <x v="2"/>
    <s v="Walter Muller"/>
    <s v="Berlin"/>
  </r>
  <r>
    <n v="10702"/>
    <x v="50"/>
    <x v="0"/>
    <n v="3.49"/>
    <n v="631"/>
    <n v="2202.19"/>
    <x v="1"/>
    <x v="2"/>
    <s v="Walter Muller"/>
    <s v="Berlin"/>
  </r>
  <r>
    <n v="10703"/>
    <x v="50"/>
    <x v="1"/>
    <n v="2.95"/>
    <n v="678"/>
    <n v="2000.1000000000001"/>
    <x v="1"/>
    <x v="0"/>
    <s v="Walter Muller"/>
    <s v="Berlin"/>
  </r>
  <r>
    <n v="10704"/>
    <x v="50"/>
    <x v="2"/>
    <n v="4.99"/>
    <n v="201"/>
    <n v="1002.99"/>
    <x v="2"/>
    <x v="0"/>
    <s v="Walter Muller"/>
    <s v="Berlin"/>
  </r>
  <r>
    <n v="10705"/>
    <x v="51"/>
    <x v="3"/>
    <n v="12.99"/>
    <n v="724"/>
    <n v="9404.76"/>
    <x v="2"/>
    <x v="0"/>
    <s v="Walter Muller"/>
    <s v="Berlin"/>
  </r>
  <r>
    <n v="10706"/>
    <x v="51"/>
    <x v="4"/>
    <n v="9.9499999999999993"/>
    <n v="302"/>
    <n v="3004.8999999999996"/>
    <x v="2"/>
    <x v="0"/>
    <s v="Walter Muller"/>
    <s v="Berlin"/>
  </r>
  <r>
    <n v="10707"/>
    <x v="51"/>
    <x v="0"/>
    <n v="3.49"/>
    <n v="631"/>
    <n v="2202.19"/>
    <x v="2"/>
    <x v="0"/>
    <s v="Walter Muller"/>
    <s v="Berlin"/>
  </r>
  <r>
    <n v="10708"/>
    <x v="51"/>
    <x v="1"/>
    <n v="2.95"/>
    <n v="678"/>
    <n v="2000.1000000000001"/>
    <x v="2"/>
    <x v="0"/>
    <s v="Walter Muller"/>
    <s v="Berlin"/>
  </r>
  <r>
    <n v="10709"/>
    <x v="51"/>
    <x v="2"/>
    <n v="4.99"/>
    <n v="201"/>
    <n v="1002.99"/>
    <x v="2"/>
    <x v="0"/>
    <s v="Walter Muller"/>
    <s v="Berlin"/>
  </r>
  <r>
    <n v="10710"/>
    <x v="52"/>
    <x v="3"/>
    <n v="12.99"/>
    <n v="755"/>
    <n v="9807.4500000000007"/>
    <x v="2"/>
    <x v="0"/>
    <s v="Walter Muller"/>
    <s v="Berlin"/>
  </r>
  <r>
    <n v="10711"/>
    <x v="52"/>
    <x v="4"/>
    <n v="9.9499999999999993"/>
    <n v="282"/>
    <n v="2805.8999999999996"/>
    <x v="2"/>
    <x v="0"/>
    <s v="Walter Muller"/>
    <s v="Berlin"/>
  </r>
  <r>
    <n v="10712"/>
    <x v="52"/>
    <x v="0"/>
    <n v="3.49"/>
    <n v="631"/>
    <n v="2202.19"/>
    <x v="2"/>
    <x v="0"/>
    <s v="Walter Muller"/>
    <s v="Berlin"/>
  </r>
  <r>
    <n v="10713"/>
    <x v="52"/>
    <x v="1"/>
    <n v="2.95"/>
    <n v="678"/>
    <n v="2000.1000000000001"/>
    <x v="2"/>
    <x v="0"/>
    <s v="Walter Muller"/>
    <s v="Berli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70184B-086C-4601-A873-4D232860F9DE}" name="PivotTable5"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D15:E17" firstHeaderRow="1" firstDataRow="1" firstDataCol="1"/>
  <pivotFields count="12">
    <pivotField showAll="0"/>
    <pivotField axis="axisRow" numFmtId="14"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showAll="0">
      <items count="6">
        <item h="1" x="1"/>
        <item h="1" x="3"/>
        <item x="4"/>
        <item h="1" x="0"/>
        <item h="1" x="2"/>
        <item t="default"/>
      </items>
    </pivotField>
    <pivotField showAll="0"/>
    <pivotField showAll="0"/>
    <pivotField dataField="1" showAll="0"/>
    <pivotField showAll="0">
      <items count="4">
        <item x="2"/>
        <item x="1"/>
        <item h="1" x="0"/>
        <item t="default"/>
      </items>
    </pivotField>
    <pivotField showAll="0">
      <items count="4">
        <item h="1" x="2"/>
        <item x="1"/>
        <item x="0"/>
        <item t="default"/>
      </items>
    </pivotField>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1"/>
    <field x="10"/>
    <field x="1"/>
  </rowFields>
  <rowItems count="2">
    <i>
      <x v="11"/>
    </i>
    <i t="grand">
      <x/>
    </i>
  </rowItems>
  <colItems count="1">
    <i/>
  </colItems>
  <dataFields count="1">
    <dataField name="Sum of Revenue"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2" name="Date">
      <autoFilter ref="A1">
        <filterColumn colId="0">
          <customFilters and="1">
            <customFilter operator="greaterThanOrEqual" val="44866"/>
            <customFilter operator="lessThanOrEqual" val="4489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86EE0C-AC35-49C1-8802-098D0DB3C3DE}" name="PivotTable4"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I8:I9" firstHeaderRow="1" firstDataRow="1" firstDataCol="0"/>
  <pivotFields count="12">
    <pivotField showAll="0"/>
    <pivotField numFmtId="14"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showAll="0">
      <items count="6">
        <item h="1" x="1"/>
        <item h="1" x="3"/>
        <item x="4"/>
        <item h="1" x="0"/>
        <item h="1" x="2"/>
        <item t="default"/>
      </items>
    </pivotField>
    <pivotField showAll="0"/>
    <pivotField dataField="1" showAll="0"/>
    <pivotField showAll="0"/>
    <pivotField showAll="0">
      <items count="4">
        <item x="2"/>
        <item x="1"/>
        <item h="1" x="0"/>
        <item t="default"/>
      </items>
    </pivotField>
    <pivotField showAll="0">
      <items count="4">
        <item h="1" x="2"/>
        <item x="1"/>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4" baseField="0" baseItem="0"/>
  </dataFields>
  <pivotTableStyleInfo name="PivotStyleLight16" showRowHeaders="1" showColHeaders="1" showRowStripes="0" showColStripes="0" showLastColumn="1"/>
  <filters count="1">
    <filter fld="1" type="dateBetween" evalOrder="-1" id="12" name="Date">
      <autoFilter ref="A1">
        <filterColumn colId="0">
          <customFilters and="1">
            <customFilter operator="greaterThanOrEqual" val="44866"/>
            <customFilter operator="lessThanOrEqual" val="4489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A3E2D8-9614-40F8-A84E-AB40C6346803}" name="PivotTable3"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F8:G10" firstHeaderRow="1" firstDataRow="1" firstDataCol="1"/>
  <pivotFields count="12">
    <pivotField showAll="0"/>
    <pivotField numFmtId="14"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showAll="0" sortType="descending">
      <items count="6">
        <item h="1" x="1"/>
        <item h="1" x="3"/>
        <item x="4"/>
        <item h="1" x="0"/>
        <item h="1"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4">
        <item x="2"/>
        <item x="1"/>
        <item h="1" x="0"/>
        <item t="default"/>
      </items>
    </pivotField>
    <pivotField axis="axisRow" showAll="0" sortType="descending">
      <items count="4">
        <item h="1"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2">
    <i>
      <x v="1"/>
    </i>
    <i t="grand">
      <x/>
    </i>
  </rowItems>
  <colItems count="1">
    <i/>
  </colItems>
  <dataFields count="1">
    <dataField name="Sum of Revenue" fld="5" showDataAs="percentOfTotal" baseField="0" baseItem="0" numFmtId="10"/>
  </dataField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7" count="1" selected="0">
            <x v="0"/>
          </reference>
        </references>
      </pivotArea>
    </chartFormat>
    <chartFormat chart="2" format="7">
      <pivotArea type="data" outline="0" fieldPosition="0">
        <references count="2">
          <reference field="4294967294" count="1" selected="0">
            <x v="0"/>
          </reference>
          <reference field="7" count="1" selected="0">
            <x v="2"/>
          </reference>
        </references>
      </pivotArea>
    </chartFormat>
    <chartFormat chart="2" format="8">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filters count="1">
    <filter fld="1" type="dateBetween" evalOrder="-1" id="20" name="Date">
      <autoFilter ref="A1">
        <filterColumn colId="0">
          <customFilters and="1">
            <customFilter operator="greaterThanOrEqual" val="44866"/>
            <customFilter operator="lessThanOrEqual" val="4489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63462D-50BE-4531-AE46-081C7E5A3D94}" name="PivotTable2"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8:D9" firstHeaderRow="1" firstDataRow="1" firstDataCol="0"/>
  <pivotFields count="12">
    <pivotField showAll="0"/>
    <pivotField numFmtId="14"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showAll="0" sortType="descending">
      <items count="6">
        <item h="1" x="1"/>
        <item h="1" x="3"/>
        <item x="4"/>
        <item h="1" x="0"/>
        <item h="1"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4">
        <item x="2"/>
        <item x="1"/>
        <item h="1" x="0"/>
        <item t="default"/>
      </items>
    </pivotField>
    <pivotField showAll="0">
      <items count="4">
        <item h="1" x="2"/>
        <item x="1"/>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5" baseField="0" baseItem="0"/>
  </dataFields>
  <pivotTableStyleInfo name="PivotStyleLight16" showRowHeaders="1" showColHeaders="1" showRowStripes="0" showColStripes="0" showLastColumn="1"/>
  <filters count="1">
    <filter fld="1" type="dateBetween" evalOrder="-1" id="12" name="Date">
      <autoFilter ref="A1">
        <filterColumn colId="0">
          <customFilters and="1">
            <customFilter operator="greaterThanOrEqual" val="44866"/>
            <customFilter operator="lessThanOrEqual" val="4489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A942B9-58EA-4D0B-9D58-B225862A0428}" name="PivotTable1"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8:B10" firstHeaderRow="1" firstDataRow="1" firstDataCol="1"/>
  <pivotFields count="12">
    <pivotField showAll="0"/>
    <pivotField numFmtId="14"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axis="axisRow" showAll="0" sortType="descending">
      <items count="6">
        <item h="1" x="1"/>
        <item h="1" x="3"/>
        <item x="4"/>
        <item h="1" x="0"/>
        <item h="1"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4">
        <item x="2"/>
        <item x="1"/>
        <item h="1" x="0"/>
        <item t="default"/>
      </items>
    </pivotField>
    <pivotField showAll="0">
      <items count="4">
        <item h="1" x="2"/>
        <item x="1"/>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2">
    <i>
      <x v="2"/>
    </i>
    <i t="grand">
      <x/>
    </i>
  </rowItems>
  <colItems count="1">
    <i/>
  </colItems>
  <dataFields count="1">
    <dataField name="Sum of Revenue"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2" name="Date">
      <autoFilter ref="A1">
        <filterColumn colId="0">
          <customFilters and="1">
            <customFilter operator="greaterThanOrEqual" val="44866"/>
            <customFilter operator="lessThanOrEqual" val="4489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779DB76-E40E-4FD7-86FA-73DAFBE0C18F}" sourceName="Product">
  <pivotTables>
    <pivotTable tabId="3" name="PivotTable1"/>
    <pivotTable tabId="3" name="PivotTable2"/>
    <pivotTable tabId="3" name="PivotTable3"/>
    <pivotTable tabId="3" name="PivotTable4"/>
    <pivotTable tabId="3" name="PivotTable5"/>
  </pivotTables>
  <data>
    <tabular pivotCacheId="136912887">
      <items count="5">
        <i x="1"/>
        <i x="3"/>
        <i x="4" s="1"/>
        <i x="0"/>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_Type" xr10:uid="{7FE89EF3-FF18-4A45-AED0-2D014A356C26}" sourceName="Purchase Type">
  <pivotTables>
    <pivotTable tabId="3" name="PivotTable1"/>
    <pivotTable tabId="3" name="PivotTable2"/>
    <pivotTable tabId="3" name="PivotTable3"/>
    <pivotTable tabId="3" name="PivotTable4"/>
    <pivotTable tabId="3" name="PivotTable5"/>
  </pivotTables>
  <data>
    <tabular pivotCacheId="136912887">
      <items count="3">
        <i x="2" s="1"/>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5B43B61E-0F33-4ED5-9E81-D0BCCEDD888A}" sourceName="Payment Method">
  <pivotTables>
    <pivotTable tabId="3" name="PivotTable1"/>
    <pivotTable tabId="3" name="PivotTable2"/>
    <pivotTable tabId="3" name="PivotTable3"/>
    <pivotTable tabId="3" name="PivotTable4"/>
    <pivotTable tabId="3" name="PivotTable5"/>
  </pivotTables>
  <data>
    <tabular pivotCacheId="136912887">
      <items count="3">
        <i x="2"/>
        <i x="1" s="1"/>
        <i x="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1F7D271E-4F78-41C2-9BE6-8E939E7AFFF7}" cache="Slicer_Product" caption="Product" showCaption="0" rowHeight="241300"/>
  <slicer name="Purchase Type" xr10:uid="{2A353959-3E64-4216-BB24-1B250BAEAC21}" cache="Slicer_Purchase_Type" caption="Purchase Type" showCaption="0" rowHeight="241300"/>
  <slicer name="Payment Method" xr10:uid="{966BA79B-41B5-485D-8520-2141829A7C09}" cache="Slicer_Payment_Method" caption="Payment Method"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3CAF3A-DFE2-4FF4-975E-EA19DE099DE2}" name="Sales_Table" displayName="Sales_Table" ref="A1:J258" totalsRowShown="0" headerRowDxfId="0">
  <autoFilter ref="A1:J258" xr:uid="{8A3CAF3A-DFE2-4FF4-975E-EA19DE099DE2}"/>
  <tableColumns count="10">
    <tableColumn id="1" xr3:uid="{D17FA699-3471-4464-887E-818E889422D3}" name="Order ID" dataDxfId="7"/>
    <tableColumn id="2" xr3:uid="{57A503FC-D988-459A-B987-268CC00306EF}" name="Date" dataDxfId="6"/>
    <tableColumn id="3" xr3:uid="{DC65B3C5-3F7E-4556-AB8B-A5F6936DE9FF}" name="Product"/>
    <tableColumn id="4" xr3:uid="{8F976219-164D-4955-86EC-988988837B6A}" name="Price" dataDxfId="5"/>
    <tableColumn id="5" xr3:uid="{8316D768-503A-43AE-ABD6-26B39703688C}" name="Quantity" dataDxfId="4"/>
    <tableColumn id="6" xr3:uid="{6C5B7C8F-DB5F-45C4-886D-45ACAB038B01}" name="Revenue" dataDxfId="3">
      <calculatedColumnFormula>E2*D2</calculatedColumnFormula>
    </tableColumn>
    <tableColumn id="7" xr3:uid="{7A924D81-A8F7-4E02-90F7-57064640F8FE}" name="Purchase Type" dataDxfId="2"/>
    <tableColumn id="8" xr3:uid="{0B561E4B-E16B-483F-AFB6-442733438F07}" name="Payment Method" dataDxfId="1"/>
    <tableColumn id="9" xr3:uid="{DAE38B2B-5066-42B2-B581-6A4108D7F88C}" name="Manager"/>
    <tableColumn id="10" xr3:uid="{768B8C60-33E1-43AF-833E-AC546A8E7F69}" name="Cit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70DE6BAF-9AC5-4D8F-B20D-153D720E1759}" sourceName="Date">
  <pivotTables>
    <pivotTable tabId="3" name="PivotTable3"/>
    <pivotTable tabId="3" name="PivotTable1"/>
    <pivotTable tabId="3" name="PivotTable2"/>
    <pivotTable tabId="3" name="PivotTable4"/>
    <pivotTable tabId="3" name="PivotTable5"/>
  </pivotTables>
  <state minimalRefreshVersion="6" lastRefreshVersion="6" pivotCacheId="136912887" filterType="dateBetween">
    <selection startDate="2022-11-01T00:00:00" endDate="2022-11-30T00:00:00"/>
    <bounds startDate="2022-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57BDAB0-B37C-4915-B602-EB80716A5545}" cache="NativeTimeline_Date" caption="Date" level="2" selectionLevel="2" scrollPosition="2022-06-07T00:00:00"/>
</timeline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6E18C-9536-4151-AEC9-88052B5E439F}">
  <dimension ref="A1:I263"/>
  <sheetViews>
    <sheetView workbookViewId="0">
      <selection activeCell="K1" sqref="K1"/>
    </sheetView>
  </sheetViews>
  <sheetFormatPr defaultRowHeight="15" x14ac:dyDescent="0.25"/>
  <cols>
    <col min="1" max="1" width="9.28515625" bestFit="1" customWidth="1"/>
    <col min="2" max="2" width="10.42578125" bestFit="1" customWidth="1"/>
    <col min="3" max="3" width="19.140625" bestFit="1" customWidth="1"/>
    <col min="4" max="4" width="6" bestFit="1" customWidth="1"/>
    <col min="5" max="5" width="9.7109375" bestFit="1" customWidth="1"/>
    <col min="6" max="6" width="15.28515625" bestFit="1" customWidth="1"/>
    <col min="7" max="7" width="18.42578125" bestFit="1" customWidth="1"/>
    <col min="8" max="8" width="15.42578125" bestFit="1" customWidth="1"/>
    <col min="9" max="9" width="7.5703125" bestFit="1" customWidth="1"/>
  </cols>
  <sheetData>
    <row r="1" spans="1:9" ht="15.75" x14ac:dyDescent="0.25">
      <c r="A1" s="1" t="s">
        <v>0</v>
      </c>
      <c r="B1" s="1" t="s">
        <v>1</v>
      </c>
      <c r="C1" s="1" t="s">
        <v>2</v>
      </c>
      <c r="D1" s="2" t="s">
        <v>3</v>
      </c>
      <c r="E1" s="1" t="s">
        <v>4</v>
      </c>
      <c r="F1" s="1" t="s">
        <v>5</v>
      </c>
      <c r="G1" s="1" t="s">
        <v>6</v>
      </c>
      <c r="H1" s="1" t="s">
        <v>7</v>
      </c>
      <c r="I1" s="1" t="s">
        <v>8</v>
      </c>
    </row>
    <row r="2" spans="1:9" x14ac:dyDescent="0.25">
      <c r="A2" s="3">
        <v>10452</v>
      </c>
      <c r="B2" s="4">
        <v>44872</v>
      </c>
      <c r="C2" t="s">
        <v>9</v>
      </c>
      <c r="D2" s="3">
        <v>3.49</v>
      </c>
      <c r="E2" s="5">
        <v>573.06590257879645</v>
      </c>
      <c r="F2" s="3" t="s">
        <v>10</v>
      </c>
      <c r="G2" s="3" t="s">
        <v>11</v>
      </c>
      <c r="H2" t="s">
        <v>12</v>
      </c>
      <c r="I2" t="s">
        <v>13</v>
      </c>
    </row>
    <row r="3" spans="1:9" x14ac:dyDescent="0.25">
      <c r="A3" s="3">
        <v>10453</v>
      </c>
      <c r="B3" s="4">
        <v>44872</v>
      </c>
      <c r="C3" t="s">
        <v>14</v>
      </c>
      <c r="D3" s="3">
        <v>2.95</v>
      </c>
      <c r="E3" s="5">
        <v>745.7627118644067</v>
      </c>
      <c r="F3" s="3" t="s">
        <v>10</v>
      </c>
      <c r="G3" s="3" t="s">
        <v>11</v>
      </c>
      <c r="H3" t="s">
        <v>15</v>
      </c>
      <c r="I3" t="s">
        <v>16</v>
      </c>
    </row>
    <row r="4" spans="1:9" x14ac:dyDescent="0.25">
      <c r="A4" s="3">
        <v>10454</v>
      </c>
      <c r="B4" s="4">
        <v>44872</v>
      </c>
      <c r="C4" t="s">
        <v>17</v>
      </c>
      <c r="D4" s="3">
        <v>4.99</v>
      </c>
      <c r="E4" s="5">
        <v>200.40080160320639</v>
      </c>
      <c r="F4" s="3" t="s">
        <v>18</v>
      </c>
      <c r="G4" s="3" t="s">
        <v>11</v>
      </c>
      <c r="H4" t="s">
        <v>19</v>
      </c>
      <c r="I4" t="s">
        <v>20</v>
      </c>
    </row>
    <row r="5" spans="1:9" x14ac:dyDescent="0.25">
      <c r="A5" s="3">
        <v>10455</v>
      </c>
      <c r="B5" s="4">
        <v>44873</v>
      </c>
      <c r="C5" t="s">
        <v>21</v>
      </c>
      <c r="D5" s="3">
        <v>12.99</v>
      </c>
      <c r="E5" s="5">
        <v>569.66897613548883</v>
      </c>
      <c r="F5" s="3" t="s">
        <v>18</v>
      </c>
      <c r="G5" s="3" t="s">
        <v>22</v>
      </c>
      <c r="H5" t="s">
        <v>23</v>
      </c>
      <c r="I5" t="s">
        <v>24</v>
      </c>
    </row>
    <row r="6" spans="1:9" x14ac:dyDescent="0.25">
      <c r="A6" s="3">
        <v>10456</v>
      </c>
      <c r="B6" s="4">
        <v>44873</v>
      </c>
      <c r="C6" t="s">
        <v>25</v>
      </c>
      <c r="D6" s="3">
        <v>9.9499999999999993</v>
      </c>
      <c r="E6" s="5">
        <v>201.00502512562818</v>
      </c>
      <c r="F6" s="3" t="s">
        <v>18</v>
      </c>
      <c r="G6" s="3" t="s">
        <v>22</v>
      </c>
      <c r="H6" t="s">
        <v>23</v>
      </c>
      <c r="I6" t="s">
        <v>24</v>
      </c>
    </row>
    <row r="7" spans="1:9" x14ac:dyDescent="0.25">
      <c r="A7" s="3">
        <v>10457</v>
      </c>
      <c r="B7" s="4">
        <v>44873</v>
      </c>
      <c r="C7" t="s">
        <v>9</v>
      </c>
      <c r="D7" s="3">
        <v>3.49</v>
      </c>
      <c r="E7" s="5">
        <v>573.06590257879645</v>
      </c>
      <c r="F7" s="3" t="s">
        <v>18</v>
      </c>
      <c r="G7" s="3" t="s">
        <v>22</v>
      </c>
      <c r="H7" t="s">
        <v>26</v>
      </c>
      <c r="I7" t="s">
        <v>27</v>
      </c>
    </row>
    <row r="8" spans="1:9" x14ac:dyDescent="0.25">
      <c r="A8" s="3">
        <v>10457</v>
      </c>
      <c r="B8" s="4">
        <v>44873</v>
      </c>
      <c r="C8" t="s">
        <v>9</v>
      </c>
      <c r="D8" s="3">
        <v>3.49</v>
      </c>
      <c r="E8" s="5">
        <v>573.06590257879645</v>
      </c>
      <c r="F8" s="3" t="s">
        <v>18</v>
      </c>
      <c r="G8" s="3" t="s">
        <v>22</v>
      </c>
      <c r="H8" t="s">
        <v>26</v>
      </c>
      <c r="I8" t="s">
        <v>27</v>
      </c>
    </row>
    <row r="9" spans="1:9" x14ac:dyDescent="0.25">
      <c r="A9" s="3">
        <v>10459</v>
      </c>
      <c r="B9" s="4">
        <v>44873</v>
      </c>
      <c r="C9" t="s">
        <v>17</v>
      </c>
      <c r="D9" s="3">
        <v>4.99</v>
      </c>
      <c r="E9" s="5">
        <v>200.40080160320639</v>
      </c>
      <c r="F9" s="3" t="s">
        <v>18</v>
      </c>
      <c r="G9" s="3" t="s">
        <v>22</v>
      </c>
      <c r="H9" t="s">
        <v>23</v>
      </c>
      <c r="I9" t="s">
        <v>24</v>
      </c>
    </row>
    <row r="10" spans="1:9" x14ac:dyDescent="0.25">
      <c r="A10" s="3">
        <v>10460</v>
      </c>
      <c r="B10" s="4">
        <v>44874</v>
      </c>
      <c r="C10" t="s">
        <v>21</v>
      </c>
      <c r="D10" s="3">
        <v>12.99</v>
      </c>
      <c r="E10" s="5">
        <v>554.27251732101615</v>
      </c>
      <c r="F10" s="3" t="s">
        <v>18</v>
      </c>
      <c r="G10" s="3" t="s">
        <v>22</v>
      </c>
      <c r="H10" t="s">
        <v>28</v>
      </c>
      <c r="I10" t="s">
        <v>27</v>
      </c>
    </row>
    <row r="11" spans="1:9" x14ac:dyDescent="0.25">
      <c r="A11" s="3">
        <v>10461</v>
      </c>
      <c r="B11" s="4">
        <v>44874</v>
      </c>
      <c r="C11" t="s">
        <v>25</v>
      </c>
      <c r="D11" s="3">
        <v>9.9499999999999993</v>
      </c>
      <c r="E11" s="5">
        <v>201.00502512562818</v>
      </c>
      <c r="F11" s="3" t="s">
        <v>18</v>
      </c>
      <c r="G11" s="3" t="s">
        <v>22</v>
      </c>
      <c r="H11" t="s">
        <v>28</v>
      </c>
      <c r="I11" t="s">
        <v>27</v>
      </c>
    </row>
    <row r="12" spans="1:9" x14ac:dyDescent="0.25">
      <c r="A12" s="3">
        <v>10462</v>
      </c>
      <c r="B12" s="4">
        <v>44874</v>
      </c>
      <c r="C12" t="s">
        <v>9</v>
      </c>
      <c r="D12" s="3">
        <v>3.49</v>
      </c>
      <c r="E12" s="5">
        <v>573.06590257879645</v>
      </c>
      <c r="F12" s="3" t="s">
        <v>18</v>
      </c>
      <c r="G12" s="3" t="s">
        <v>22</v>
      </c>
      <c r="H12" t="s">
        <v>29</v>
      </c>
      <c r="I12" t="s">
        <v>27</v>
      </c>
    </row>
    <row r="13" spans="1:9" x14ac:dyDescent="0.25">
      <c r="A13" s="3">
        <v>10463</v>
      </c>
      <c r="B13" s="4">
        <v>44874</v>
      </c>
      <c r="C13" t="s">
        <v>14</v>
      </c>
      <c r="D13" s="3">
        <v>2.95</v>
      </c>
      <c r="E13" s="5">
        <v>677.96610169491521</v>
      </c>
      <c r="F13" s="3" t="s">
        <v>18</v>
      </c>
      <c r="G13" s="3" t="s">
        <v>22</v>
      </c>
      <c r="H13" t="s">
        <v>29</v>
      </c>
      <c r="I13" t="s">
        <v>27</v>
      </c>
    </row>
    <row r="14" spans="1:9" x14ac:dyDescent="0.25">
      <c r="A14" s="3">
        <v>10464</v>
      </c>
      <c r="B14" s="4">
        <v>44874</v>
      </c>
      <c r="C14" t="s">
        <v>17</v>
      </c>
      <c r="D14" s="3">
        <v>4.99</v>
      </c>
      <c r="E14" s="5">
        <v>200.40080160320639</v>
      </c>
      <c r="F14" s="3" t="s">
        <v>18</v>
      </c>
      <c r="G14" s="3" t="s">
        <v>22</v>
      </c>
      <c r="H14" t="s">
        <v>30</v>
      </c>
      <c r="I14" t="s">
        <v>27</v>
      </c>
    </row>
    <row r="15" spans="1:9" x14ac:dyDescent="0.25">
      <c r="A15" s="3">
        <v>10465</v>
      </c>
      <c r="B15" s="4">
        <v>44875</v>
      </c>
      <c r="C15" t="s">
        <v>21</v>
      </c>
      <c r="D15" s="3">
        <v>12.99</v>
      </c>
      <c r="E15" s="5">
        <v>554.27251732101615</v>
      </c>
      <c r="F15" s="3" t="s">
        <v>18</v>
      </c>
      <c r="G15" s="3" t="s">
        <v>22</v>
      </c>
      <c r="H15" t="s">
        <v>31</v>
      </c>
      <c r="I15" t="s">
        <v>16</v>
      </c>
    </row>
    <row r="16" spans="1:9" x14ac:dyDescent="0.25">
      <c r="A16" s="3">
        <v>10466</v>
      </c>
      <c r="B16" s="4">
        <v>44875</v>
      </c>
      <c r="C16" t="s">
        <v>25</v>
      </c>
      <c r="D16" s="3">
        <v>9.9499999999999993</v>
      </c>
      <c r="E16" s="5">
        <v>201.00502512562818</v>
      </c>
      <c r="F16" s="3" t="s">
        <v>18</v>
      </c>
      <c r="G16" s="3" t="s">
        <v>22</v>
      </c>
      <c r="H16" t="s">
        <v>31</v>
      </c>
      <c r="I16" t="s">
        <v>16</v>
      </c>
    </row>
    <row r="17" spans="1:9" x14ac:dyDescent="0.25">
      <c r="A17" s="3">
        <v>10467</v>
      </c>
      <c r="B17" s="4">
        <v>44875</v>
      </c>
      <c r="C17" t="s">
        <v>9</v>
      </c>
      <c r="D17" s="3">
        <v>3.49</v>
      </c>
      <c r="E17" s="5">
        <v>573.06590257879645</v>
      </c>
      <c r="F17" s="3" t="s">
        <v>18</v>
      </c>
      <c r="G17" s="3" t="s">
        <v>22</v>
      </c>
      <c r="H17" t="s">
        <v>31</v>
      </c>
      <c r="I17" t="s">
        <v>16</v>
      </c>
    </row>
    <row r="18" spans="1:9" x14ac:dyDescent="0.25">
      <c r="A18" s="3">
        <v>10468</v>
      </c>
      <c r="B18" s="4">
        <v>44875</v>
      </c>
      <c r="C18" t="s">
        <v>14</v>
      </c>
      <c r="D18" s="3">
        <v>2.95</v>
      </c>
      <c r="E18" s="5">
        <v>677.96610169491521</v>
      </c>
      <c r="F18" s="3" t="s">
        <v>18</v>
      </c>
      <c r="G18" s="3" t="s">
        <v>22</v>
      </c>
      <c r="H18" t="s">
        <v>15</v>
      </c>
      <c r="I18" t="s">
        <v>16</v>
      </c>
    </row>
    <row r="19" spans="1:9" x14ac:dyDescent="0.25">
      <c r="A19" s="3">
        <v>10468</v>
      </c>
      <c r="B19" s="4">
        <v>44875</v>
      </c>
      <c r="C19" t="s">
        <v>14</v>
      </c>
      <c r="D19" s="3">
        <v>2.95</v>
      </c>
      <c r="E19" s="5">
        <v>677.96610169491521</v>
      </c>
      <c r="F19" s="3" t="s">
        <v>18</v>
      </c>
      <c r="G19" s="3" t="s">
        <v>22</v>
      </c>
      <c r="H19" t="s">
        <v>15</v>
      </c>
      <c r="I19" t="s">
        <v>16</v>
      </c>
    </row>
    <row r="20" spans="1:9" x14ac:dyDescent="0.25">
      <c r="A20" s="3">
        <v>10470</v>
      </c>
      <c r="B20" s="4">
        <v>44876</v>
      </c>
      <c r="C20" t="s">
        <v>21</v>
      </c>
      <c r="D20" s="3">
        <v>12.99</v>
      </c>
      <c r="E20" s="5">
        <v>554.27251732101615</v>
      </c>
      <c r="F20" s="3" t="s">
        <v>18</v>
      </c>
      <c r="G20" s="3" t="s">
        <v>22</v>
      </c>
      <c r="H20" t="s">
        <v>15</v>
      </c>
      <c r="I20" t="s">
        <v>16</v>
      </c>
    </row>
    <row r="21" spans="1:9" x14ac:dyDescent="0.25">
      <c r="A21" s="3">
        <v>10471</v>
      </c>
      <c r="B21" s="4">
        <v>44876</v>
      </c>
      <c r="C21" t="s">
        <v>25</v>
      </c>
      <c r="D21" s="3">
        <v>9.9499999999999993</v>
      </c>
      <c r="E21" s="5">
        <v>201.00502512562818</v>
      </c>
      <c r="F21" s="3" t="s">
        <v>18</v>
      </c>
      <c r="G21" s="3" t="s">
        <v>22</v>
      </c>
      <c r="H21" t="s">
        <v>15</v>
      </c>
      <c r="I21" t="s">
        <v>16</v>
      </c>
    </row>
    <row r="22" spans="1:9" x14ac:dyDescent="0.25">
      <c r="A22" s="3">
        <v>10472</v>
      </c>
      <c r="B22" s="4">
        <v>44876</v>
      </c>
      <c r="C22" t="s">
        <v>9</v>
      </c>
      <c r="D22" s="3">
        <v>3.49</v>
      </c>
      <c r="E22" s="5">
        <v>630.3724928366762</v>
      </c>
      <c r="F22" s="3" t="s">
        <v>18</v>
      </c>
      <c r="G22" s="3" t="s">
        <v>22</v>
      </c>
      <c r="H22" t="s">
        <v>32</v>
      </c>
      <c r="I22" t="s">
        <v>16</v>
      </c>
    </row>
    <row r="23" spans="1:9" x14ac:dyDescent="0.25">
      <c r="A23" s="3">
        <v>10473</v>
      </c>
      <c r="B23" s="4">
        <v>44876</v>
      </c>
      <c r="C23" t="s">
        <v>14</v>
      </c>
      <c r="D23" s="3">
        <v>2.95</v>
      </c>
      <c r="E23" s="5">
        <v>677.96610169491521</v>
      </c>
      <c r="F23" s="3" t="s">
        <v>18</v>
      </c>
      <c r="G23" s="3" t="s">
        <v>22</v>
      </c>
      <c r="H23" t="s">
        <v>15</v>
      </c>
      <c r="I23" t="s">
        <v>16</v>
      </c>
    </row>
    <row r="24" spans="1:9" x14ac:dyDescent="0.25">
      <c r="A24" s="3">
        <v>10474</v>
      </c>
      <c r="B24" s="4">
        <v>44876</v>
      </c>
      <c r="C24" t="s">
        <v>17</v>
      </c>
      <c r="D24" s="3">
        <v>4.99</v>
      </c>
      <c r="E24" s="5">
        <v>200.40080160320639</v>
      </c>
      <c r="F24" s="3" t="s">
        <v>18</v>
      </c>
      <c r="G24" s="3" t="s">
        <v>22</v>
      </c>
      <c r="H24" t="s">
        <v>15</v>
      </c>
      <c r="I24" t="s">
        <v>16</v>
      </c>
    </row>
    <row r="25" spans="1:9" x14ac:dyDescent="0.25">
      <c r="A25" s="3">
        <v>10475</v>
      </c>
      <c r="B25" s="4">
        <v>44877</v>
      </c>
      <c r="C25" t="s">
        <v>21</v>
      </c>
      <c r="D25" s="3">
        <v>12.99</v>
      </c>
      <c r="E25" s="5">
        <v>523.47959969207079</v>
      </c>
      <c r="F25" s="3" t="s">
        <v>18</v>
      </c>
      <c r="G25" s="3" t="s">
        <v>22</v>
      </c>
      <c r="H25" t="s">
        <v>15</v>
      </c>
      <c r="I25" t="s">
        <v>16</v>
      </c>
    </row>
    <row r="26" spans="1:9" x14ac:dyDescent="0.25">
      <c r="A26" s="3">
        <v>10476</v>
      </c>
      <c r="B26" s="4">
        <v>44877</v>
      </c>
      <c r="C26" t="s">
        <v>25</v>
      </c>
      <c r="D26" s="3">
        <v>9.9499999999999993</v>
      </c>
      <c r="E26" s="5">
        <v>201.00502512562818</v>
      </c>
      <c r="F26" s="3" t="s">
        <v>18</v>
      </c>
      <c r="G26" s="3" t="s">
        <v>22</v>
      </c>
      <c r="H26" t="s">
        <v>31</v>
      </c>
      <c r="I26" t="s">
        <v>16</v>
      </c>
    </row>
    <row r="27" spans="1:9" x14ac:dyDescent="0.25">
      <c r="A27" s="3">
        <v>10477</v>
      </c>
      <c r="B27" s="4">
        <v>44877</v>
      </c>
      <c r="C27" t="s">
        <v>9</v>
      </c>
      <c r="D27" s="3">
        <v>3.49</v>
      </c>
      <c r="E27" s="5">
        <v>630.3724928366762</v>
      </c>
      <c r="F27" s="3" t="s">
        <v>18</v>
      </c>
      <c r="G27" s="3" t="s">
        <v>22</v>
      </c>
      <c r="H27" t="s">
        <v>33</v>
      </c>
      <c r="I27" t="s">
        <v>16</v>
      </c>
    </row>
    <row r="28" spans="1:9" x14ac:dyDescent="0.25">
      <c r="A28" s="3">
        <v>10478</v>
      </c>
      <c r="B28" s="4">
        <v>44877</v>
      </c>
      <c r="C28" t="s">
        <v>14</v>
      </c>
      <c r="D28" s="3">
        <v>2.95</v>
      </c>
      <c r="E28" s="5">
        <v>677.96610169491521</v>
      </c>
      <c r="F28" s="3" t="s">
        <v>18</v>
      </c>
      <c r="G28" s="3" t="s">
        <v>22</v>
      </c>
      <c r="H28" t="s">
        <v>31</v>
      </c>
      <c r="I28" t="s">
        <v>16</v>
      </c>
    </row>
    <row r="29" spans="1:9" x14ac:dyDescent="0.25">
      <c r="A29" s="3">
        <v>10479</v>
      </c>
      <c r="B29" s="4">
        <v>44877</v>
      </c>
      <c r="C29" t="s">
        <v>17</v>
      </c>
      <c r="D29" s="3">
        <v>4.99</v>
      </c>
      <c r="E29" s="5">
        <v>200.40080160320639</v>
      </c>
      <c r="F29" s="3" t="s">
        <v>18</v>
      </c>
      <c r="G29" s="3" t="s">
        <v>22</v>
      </c>
      <c r="H29" t="s">
        <v>34</v>
      </c>
      <c r="I29" t="s">
        <v>16</v>
      </c>
    </row>
    <row r="30" spans="1:9" x14ac:dyDescent="0.25">
      <c r="A30" s="3">
        <v>10480</v>
      </c>
      <c r="B30" s="4">
        <v>44878</v>
      </c>
      <c r="C30" t="s">
        <v>21</v>
      </c>
      <c r="D30" s="3">
        <v>12.99</v>
      </c>
      <c r="E30" s="5">
        <v>508.08314087759817</v>
      </c>
      <c r="F30" s="3" t="s">
        <v>18</v>
      </c>
      <c r="G30" s="3" t="s">
        <v>22</v>
      </c>
      <c r="H30" t="s">
        <v>31</v>
      </c>
      <c r="I30" t="s">
        <v>16</v>
      </c>
    </row>
    <row r="31" spans="1:9" x14ac:dyDescent="0.25">
      <c r="A31" s="3">
        <v>10481</v>
      </c>
      <c r="B31" s="4">
        <v>44878</v>
      </c>
      <c r="C31" t="s">
        <v>25</v>
      </c>
      <c r="D31" s="3">
        <v>9.9499999999999993</v>
      </c>
      <c r="E31" s="5">
        <v>201.00502512562818</v>
      </c>
      <c r="F31" s="3" t="s">
        <v>18</v>
      </c>
      <c r="G31" s="3" t="s">
        <v>22</v>
      </c>
      <c r="H31" t="s">
        <v>31</v>
      </c>
      <c r="I31" t="s">
        <v>16</v>
      </c>
    </row>
    <row r="32" spans="1:9" x14ac:dyDescent="0.25">
      <c r="A32" s="3">
        <v>10482</v>
      </c>
      <c r="B32" s="4">
        <v>44878</v>
      </c>
      <c r="C32" t="s">
        <v>9</v>
      </c>
      <c r="D32" s="3">
        <v>25.5</v>
      </c>
      <c r="E32" s="5">
        <v>630.3724928366762</v>
      </c>
      <c r="F32" s="3" t="s">
        <v>18</v>
      </c>
      <c r="G32" s="3" t="s">
        <v>22</v>
      </c>
      <c r="H32" t="s">
        <v>35</v>
      </c>
      <c r="I32" t="s">
        <v>20</v>
      </c>
    </row>
    <row r="33" spans="1:9" x14ac:dyDescent="0.25">
      <c r="A33" s="3">
        <v>10483</v>
      </c>
      <c r="B33" s="4">
        <v>44878</v>
      </c>
      <c r="C33" t="s">
        <v>14</v>
      </c>
      <c r="D33" s="3">
        <v>33.22</v>
      </c>
      <c r="E33" s="5">
        <v>677.96610169491521</v>
      </c>
      <c r="F33" s="3" t="s">
        <v>18</v>
      </c>
      <c r="G33" s="3" t="s">
        <v>22</v>
      </c>
      <c r="H33" t="s">
        <v>19</v>
      </c>
      <c r="I33" t="s">
        <v>20</v>
      </c>
    </row>
    <row r="34" spans="1:9" x14ac:dyDescent="0.25">
      <c r="A34" s="3">
        <v>10484</v>
      </c>
      <c r="B34" s="4">
        <v>44878</v>
      </c>
      <c r="C34" t="s">
        <v>17</v>
      </c>
      <c r="D34" s="3">
        <v>21.44</v>
      </c>
      <c r="E34" s="5">
        <v>200.40080160320639</v>
      </c>
      <c r="F34" s="3" t="s">
        <v>18</v>
      </c>
      <c r="G34" s="3" t="s">
        <v>22</v>
      </c>
      <c r="H34" t="s">
        <v>19</v>
      </c>
      <c r="I34" t="s">
        <v>20</v>
      </c>
    </row>
    <row r="35" spans="1:9" x14ac:dyDescent="0.25">
      <c r="A35" s="3">
        <v>10485</v>
      </c>
      <c r="B35" s="4">
        <v>44879</v>
      </c>
      <c r="C35" t="s">
        <v>21</v>
      </c>
      <c r="D35" s="3">
        <v>27.99</v>
      </c>
      <c r="E35" s="5">
        <v>523.47959969207079</v>
      </c>
      <c r="F35" s="3" t="s">
        <v>18</v>
      </c>
      <c r="G35" s="3" t="s">
        <v>22</v>
      </c>
      <c r="H35" t="s">
        <v>19</v>
      </c>
      <c r="I35" t="s">
        <v>20</v>
      </c>
    </row>
    <row r="36" spans="1:9" x14ac:dyDescent="0.25">
      <c r="A36" s="3">
        <v>10486</v>
      </c>
      <c r="B36" s="4">
        <v>44879</v>
      </c>
      <c r="C36" t="s">
        <v>25</v>
      </c>
      <c r="D36" s="3">
        <v>29.05</v>
      </c>
      <c r="E36" s="5">
        <v>201.00502512562818</v>
      </c>
      <c r="F36" s="3" t="s">
        <v>18</v>
      </c>
      <c r="G36" s="3" t="s">
        <v>22</v>
      </c>
      <c r="H36" t="s">
        <v>19</v>
      </c>
      <c r="I36" t="s">
        <v>20</v>
      </c>
    </row>
    <row r="37" spans="1:9" x14ac:dyDescent="0.25">
      <c r="A37" s="3">
        <v>10487</v>
      </c>
      <c r="B37" s="4">
        <v>44879</v>
      </c>
      <c r="C37" t="s">
        <v>9</v>
      </c>
      <c r="D37" s="3">
        <v>3.49</v>
      </c>
      <c r="E37" s="5">
        <v>630.3724928366762</v>
      </c>
      <c r="F37" s="3" t="s">
        <v>18</v>
      </c>
      <c r="G37" s="3" t="s">
        <v>22</v>
      </c>
      <c r="H37" t="s">
        <v>35</v>
      </c>
      <c r="I37" t="s">
        <v>20</v>
      </c>
    </row>
    <row r="38" spans="1:9" x14ac:dyDescent="0.25">
      <c r="A38" s="3">
        <v>10488</v>
      </c>
      <c r="B38" s="4">
        <v>44879</v>
      </c>
      <c r="C38" t="s">
        <v>14</v>
      </c>
      <c r="D38" s="3">
        <v>2.95</v>
      </c>
      <c r="E38" s="5">
        <v>677.96610169491521</v>
      </c>
      <c r="F38" s="3" t="s">
        <v>18</v>
      </c>
      <c r="G38" s="3" t="s">
        <v>22</v>
      </c>
      <c r="H38" t="s">
        <v>35</v>
      </c>
      <c r="I38" t="s">
        <v>20</v>
      </c>
    </row>
    <row r="39" spans="1:9" x14ac:dyDescent="0.25">
      <c r="A39" s="3">
        <v>10489</v>
      </c>
      <c r="B39" s="4">
        <v>44879</v>
      </c>
      <c r="C39" t="s">
        <v>17</v>
      </c>
      <c r="D39" s="3">
        <v>4.99</v>
      </c>
      <c r="E39" s="5">
        <v>200.40080160320639</v>
      </c>
      <c r="F39" s="3" t="s">
        <v>18</v>
      </c>
      <c r="G39" s="3" t="s">
        <v>22</v>
      </c>
      <c r="H39" t="s">
        <v>31</v>
      </c>
      <c r="I39" t="s">
        <v>16</v>
      </c>
    </row>
    <row r="40" spans="1:9" x14ac:dyDescent="0.25">
      <c r="A40" s="3">
        <v>10490</v>
      </c>
      <c r="B40" s="4">
        <v>44880</v>
      </c>
      <c r="C40" t="s">
        <v>21</v>
      </c>
      <c r="D40" s="3">
        <v>12.99</v>
      </c>
      <c r="E40" s="5">
        <v>508.08314087759817</v>
      </c>
      <c r="F40" s="3" t="s">
        <v>18</v>
      </c>
      <c r="G40" s="3" t="s">
        <v>22</v>
      </c>
      <c r="H40" t="s">
        <v>31</v>
      </c>
      <c r="I40" t="s">
        <v>16</v>
      </c>
    </row>
    <row r="41" spans="1:9" x14ac:dyDescent="0.25">
      <c r="A41" s="3">
        <v>10491</v>
      </c>
      <c r="B41" s="4">
        <v>44880</v>
      </c>
      <c r="C41" t="s">
        <v>25</v>
      </c>
      <c r="D41" s="3">
        <v>9.9499999999999993</v>
      </c>
      <c r="E41" s="5">
        <v>201.00502512562818</v>
      </c>
      <c r="F41" s="3" t="s">
        <v>18</v>
      </c>
      <c r="G41" s="3" t="s">
        <v>22</v>
      </c>
      <c r="H41" t="s">
        <v>31</v>
      </c>
      <c r="I41" t="s">
        <v>16</v>
      </c>
    </row>
    <row r="42" spans="1:9" x14ac:dyDescent="0.25">
      <c r="A42" s="3">
        <v>10492</v>
      </c>
      <c r="B42" s="4">
        <v>44880</v>
      </c>
      <c r="C42" t="s">
        <v>9</v>
      </c>
      <c r="D42" s="3">
        <v>3.49</v>
      </c>
      <c r="E42" s="5">
        <v>573.06590257879645</v>
      </c>
      <c r="F42" s="3" t="s">
        <v>18</v>
      </c>
      <c r="G42" s="3" t="s">
        <v>22</v>
      </c>
      <c r="H42" t="s">
        <v>31</v>
      </c>
      <c r="I42" t="s">
        <v>16</v>
      </c>
    </row>
    <row r="43" spans="1:9" x14ac:dyDescent="0.25">
      <c r="A43" s="3">
        <v>10493</v>
      </c>
      <c r="B43" s="4">
        <v>44880</v>
      </c>
      <c r="C43" t="s">
        <v>14</v>
      </c>
      <c r="D43" s="3">
        <v>2.95</v>
      </c>
      <c r="E43" s="5">
        <v>677.96610169491521</v>
      </c>
      <c r="F43" s="3" t="s">
        <v>18</v>
      </c>
      <c r="G43" s="3" t="s">
        <v>22</v>
      </c>
      <c r="H43" t="s">
        <v>31</v>
      </c>
      <c r="I43" t="s">
        <v>16</v>
      </c>
    </row>
    <row r="44" spans="1:9" x14ac:dyDescent="0.25">
      <c r="A44" s="3">
        <v>10494</v>
      </c>
      <c r="B44" s="4">
        <v>44880</v>
      </c>
      <c r="C44" t="s">
        <v>17</v>
      </c>
      <c r="D44" s="3">
        <v>4.99</v>
      </c>
      <c r="E44" s="5">
        <v>200.40080160320639</v>
      </c>
      <c r="F44" s="3" t="s">
        <v>18</v>
      </c>
      <c r="G44" s="3" t="s">
        <v>22</v>
      </c>
      <c r="H44" t="s">
        <v>31</v>
      </c>
      <c r="I44" t="s">
        <v>16</v>
      </c>
    </row>
    <row r="45" spans="1:9" x14ac:dyDescent="0.25">
      <c r="A45" s="3">
        <v>10495</v>
      </c>
      <c r="B45" s="4">
        <v>44881</v>
      </c>
      <c r="C45" t="s">
        <v>21</v>
      </c>
      <c r="D45" s="3">
        <v>12.99</v>
      </c>
      <c r="E45" s="5">
        <v>508.08314087759817</v>
      </c>
      <c r="F45" s="3" t="s">
        <v>18</v>
      </c>
      <c r="G45" s="3" t="s">
        <v>22</v>
      </c>
      <c r="H45" t="s">
        <v>31</v>
      </c>
      <c r="I45" t="s">
        <v>16</v>
      </c>
    </row>
    <row r="46" spans="1:9" x14ac:dyDescent="0.25">
      <c r="A46" s="3">
        <v>10496</v>
      </c>
      <c r="B46" s="4">
        <v>44881</v>
      </c>
      <c r="C46" t="s">
        <v>25</v>
      </c>
      <c r="D46" s="3">
        <v>9.9499999999999993</v>
      </c>
      <c r="E46" s="5">
        <v>201.00502512562818</v>
      </c>
      <c r="F46" s="3" t="s">
        <v>18</v>
      </c>
      <c r="G46" s="3" t="s">
        <v>22</v>
      </c>
      <c r="H46" t="s">
        <v>31</v>
      </c>
      <c r="I46" t="s">
        <v>16</v>
      </c>
    </row>
    <row r="47" spans="1:9" x14ac:dyDescent="0.25">
      <c r="A47" s="3">
        <v>10497</v>
      </c>
      <c r="B47" s="4">
        <v>44881</v>
      </c>
      <c r="C47" t="s">
        <v>9</v>
      </c>
      <c r="D47" s="3">
        <v>3.49</v>
      </c>
      <c r="E47" s="5">
        <v>573.06590257879645</v>
      </c>
      <c r="F47" s="3" t="s">
        <v>18</v>
      </c>
      <c r="G47" s="3" t="s">
        <v>22</v>
      </c>
      <c r="H47" t="s">
        <v>31</v>
      </c>
      <c r="I47" t="s">
        <v>16</v>
      </c>
    </row>
    <row r="48" spans="1:9" x14ac:dyDescent="0.25">
      <c r="A48" s="3">
        <v>10498</v>
      </c>
      <c r="B48" s="4">
        <v>44881</v>
      </c>
      <c r="C48" t="s">
        <v>14</v>
      </c>
      <c r="D48" s="3">
        <v>2.95</v>
      </c>
      <c r="E48" s="5">
        <v>677.96610169491521</v>
      </c>
      <c r="F48" s="3" t="s">
        <v>36</v>
      </c>
      <c r="G48" s="3" t="s">
        <v>22</v>
      </c>
      <c r="H48" t="s">
        <v>31</v>
      </c>
      <c r="I48" t="s">
        <v>16</v>
      </c>
    </row>
    <row r="49" spans="1:9" x14ac:dyDescent="0.25">
      <c r="A49" s="3">
        <v>10499</v>
      </c>
      <c r="B49" s="4">
        <v>44881</v>
      </c>
      <c r="C49" t="s">
        <v>17</v>
      </c>
      <c r="D49" s="3">
        <v>4.99</v>
      </c>
      <c r="E49" s="5">
        <v>200.40080160320639</v>
      </c>
      <c r="F49" s="3" t="s">
        <v>36</v>
      </c>
      <c r="G49" s="3" t="s">
        <v>22</v>
      </c>
      <c r="H49" t="s">
        <v>31</v>
      </c>
      <c r="I49" t="s">
        <v>16</v>
      </c>
    </row>
    <row r="50" spans="1:9" x14ac:dyDescent="0.25">
      <c r="A50" s="3">
        <v>10500</v>
      </c>
      <c r="B50" s="4">
        <v>44882</v>
      </c>
      <c r="C50" t="s">
        <v>21</v>
      </c>
      <c r="D50" s="3">
        <v>12.99</v>
      </c>
      <c r="E50" s="5">
        <v>523.47959969207079</v>
      </c>
      <c r="F50" s="3" t="s">
        <v>36</v>
      </c>
      <c r="G50" s="3" t="s">
        <v>22</v>
      </c>
      <c r="H50" t="s">
        <v>31</v>
      </c>
      <c r="I50" t="s">
        <v>16</v>
      </c>
    </row>
    <row r="51" spans="1:9" x14ac:dyDescent="0.25">
      <c r="A51" s="3">
        <v>10501</v>
      </c>
      <c r="B51" s="4">
        <v>44882</v>
      </c>
      <c r="C51" t="s">
        <v>25</v>
      </c>
      <c r="D51" s="3">
        <v>9.9499999999999993</v>
      </c>
      <c r="E51" s="5">
        <v>201.00502512562818</v>
      </c>
      <c r="F51" s="3" t="s">
        <v>36</v>
      </c>
      <c r="G51" s="3" t="s">
        <v>22</v>
      </c>
      <c r="H51" t="s">
        <v>31</v>
      </c>
      <c r="I51" t="s">
        <v>16</v>
      </c>
    </row>
    <row r="52" spans="1:9" x14ac:dyDescent="0.25">
      <c r="A52" s="3">
        <v>10502</v>
      </c>
      <c r="B52" s="4">
        <v>44882</v>
      </c>
      <c r="C52" t="s">
        <v>9</v>
      </c>
      <c r="D52" s="3">
        <v>3.49</v>
      </c>
      <c r="E52" s="5">
        <v>630.3724928366762</v>
      </c>
      <c r="F52" s="3" t="s">
        <v>36</v>
      </c>
      <c r="G52" s="3" t="s">
        <v>22</v>
      </c>
      <c r="H52" t="s">
        <v>31</v>
      </c>
      <c r="I52" t="s">
        <v>16</v>
      </c>
    </row>
    <row r="53" spans="1:9" x14ac:dyDescent="0.25">
      <c r="A53" s="3">
        <v>10503</v>
      </c>
      <c r="B53" s="4">
        <v>44882</v>
      </c>
      <c r="C53" t="s">
        <v>14</v>
      </c>
      <c r="D53" s="3">
        <v>2.95</v>
      </c>
      <c r="E53" s="5">
        <v>677.96610169491521</v>
      </c>
      <c r="F53" s="3" t="s">
        <v>36</v>
      </c>
      <c r="G53" s="3" t="s">
        <v>22</v>
      </c>
      <c r="H53" t="s">
        <v>31</v>
      </c>
      <c r="I53" t="s">
        <v>16</v>
      </c>
    </row>
    <row r="54" spans="1:9" x14ac:dyDescent="0.25">
      <c r="A54" s="3">
        <v>10504</v>
      </c>
      <c r="B54" s="4">
        <v>44882</v>
      </c>
      <c r="C54" t="s">
        <v>17</v>
      </c>
      <c r="D54" s="3">
        <v>4.99</v>
      </c>
      <c r="E54" s="5">
        <v>200.40080160320639</v>
      </c>
      <c r="F54" s="3" t="s">
        <v>36</v>
      </c>
      <c r="G54" s="3" t="s">
        <v>22</v>
      </c>
      <c r="H54" t="s">
        <v>31</v>
      </c>
      <c r="I54" t="s">
        <v>16</v>
      </c>
    </row>
    <row r="55" spans="1:9" x14ac:dyDescent="0.25">
      <c r="A55" s="3">
        <v>10505</v>
      </c>
      <c r="B55" s="4">
        <v>44883</v>
      </c>
      <c r="C55" t="s">
        <v>21</v>
      </c>
      <c r="D55" s="3">
        <v>12.99</v>
      </c>
      <c r="E55" s="5">
        <v>538.87605850654347</v>
      </c>
      <c r="F55" s="3" t="s">
        <v>36</v>
      </c>
      <c r="G55" s="3" t="s">
        <v>22</v>
      </c>
      <c r="H55" t="s">
        <v>31</v>
      </c>
      <c r="I55" t="s">
        <v>16</v>
      </c>
    </row>
    <row r="56" spans="1:9" x14ac:dyDescent="0.25">
      <c r="A56" s="3">
        <v>10506</v>
      </c>
      <c r="B56" s="4">
        <v>44883</v>
      </c>
      <c r="C56" t="s">
        <v>25</v>
      </c>
      <c r="D56" s="3">
        <v>9.9499999999999993</v>
      </c>
      <c r="E56" s="5">
        <v>201.00502512562818</v>
      </c>
      <c r="F56" s="3" t="s">
        <v>36</v>
      </c>
      <c r="G56" s="3" t="s">
        <v>22</v>
      </c>
      <c r="H56" t="s">
        <v>31</v>
      </c>
      <c r="I56" t="s">
        <v>16</v>
      </c>
    </row>
    <row r="57" spans="1:9" x14ac:dyDescent="0.25">
      <c r="A57" s="3">
        <v>10507</v>
      </c>
      <c r="B57" s="4">
        <v>44883</v>
      </c>
      <c r="C57" t="s">
        <v>9</v>
      </c>
      <c r="D57" s="3">
        <v>3.49</v>
      </c>
      <c r="E57" s="5">
        <v>687.67908309455584</v>
      </c>
      <c r="F57" s="3" t="s">
        <v>36</v>
      </c>
      <c r="G57" s="3" t="s">
        <v>22</v>
      </c>
      <c r="H57" t="s">
        <v>31</v>
      </c>
      <c r="I57" t="s">
        <v>16</v>
      </c>
    </row>
    <row r="58" spans="1:9" x14ac:dyDescent="0.25">
      <c r="A58" s="3">
        <v>10508</v>
      </c>
      <c r="B58" s="4">
        <v>44883</v>
      </c>
      <c r="C58" t="s">
        <v>14</v>
      </c>
      <c r="D58" s="3">
        <v>2.95</v>
      </c>
      <c r="E58" s="5">
        <v>677.96610169491521</v>
      </c>
      <c r="F58" s="3" t="s">
        <v>36</v>
      </c>
      <c r="G58" s="3" t="s">
        <v>22</v>
      </c>
      <c r="H58" t="s">
        <v>31</v>
      </c>
      <c r="I58" t="s">
        <v>16</v>
      </c>
    </row>
    <row r="59" spans="1:9" x14ac:dyDescent="0.25">
      <c r="A59" s="3">
        <v>10509</v>
      </c>
      <c r="B59" s="4">
        <v>44883</v>
      </c>
      <c r="C59" t="s">
        <v>17</v>
      </c>
      <c r="D59" s="3">
        <v>4.99</v>
      </c>
      <c r="E59" s="5">
        <v>200.40080160320639</v>
      </c>
      <c r="F59" s="3" t="s">
        <v>36</v>
      </c>
      <c r="G59" s="3" t="s">
        <v>22</v>
      </c>
      <c r="H59" t="s">
        <v>31</v>
      </c>
      <c r="I59" t="s">
        <v>16</v>
      </c>
    </row>
    <row r="60" spans="1:9" x14ac:dyDescent="0.25">
      <c r="A60" s="3">
        <v>10510</v>
      </c>
      <c r="B60" s="4">
        <v>44884</v>
      </c>
      <c r="C60" t="s">
        <v>21</v>
      </c>
      <c r="D60" s="3">
        <v>12.99</v>
      </c>
      <c r="E60" s="5">
        <v>508.08314087759817</v>
      </c>
      <c r="F60" s="3" t="s">
        <v>36</v>
      </c>
      <c r="G60" s="3" t="s">
        <v>22</v>
      </c>
      <c r="H60" t="s">
        <v>31</v>
      </c>
      <c r="I60" t="s">
        <v>16</v>
      </c>
    </row>
    <row r="61" spans="1:9" x14ac:dyDescent="0.25">
      <c r="A61" s="3">
        <v>10511</v>
      </c>
      <c r="B61" s="4">
        <v>44884</v>
      </c>
      <c r="C61" t="s">
        <v>25</v>
      </c>
      <c r="D61" s="3">
        <v>9.9499999999999993</v>
      </c>
      <c r="E61" s="5">
        <v>201.00502512562818</v>
      </c>
      <c r="F61" s="3" t="s">
        <v>36</v>
      </c>
      <c r="G61" s="3" t="s">
        <v>22</v>
      </c>
      <c r="H61" t="s">
        <v>35</v>
      </c>
      <c r="I61" t="s">
        <v>20</v>
      </c>
    </row>
    <row r="62" spans="1:9" x14ac:dyDescent="0.25">
      <c r="A62" s="3">
        <v>10512</v>
      </c>
      <c r="B62" s="4">
        <v>44884</v>
      </c>
      <c r="C62" t="s">
        <v>9</v>
      </c>
      <c r="D62" s="3">
        <v>3.49</v>
      </c>
      <c r="E62" s="5">
        <v>687.67908309455584</v>
      </c>
      <c r="F62" s="3" t="s">
        <v>36</v>
      </c>
      <c r="G62" s="3" t="s">
        <v>22</v>
      </c>
      <c r="H62" t="s">
        <v>35</v>
      </c>
      <c r="I62" t="s">
        <v>20</v>
      </c>
    </row>
    <row r="63" spans="1:9" x14ac:dyDescent="0.25">
      <c r="A63" s="3">
        <v>10513</v>
      </c>
      <c r="B63" s="4">
        <v>44884</v>
      </c>
      <c r="C63" t="s">
        <v>14</v>
      </c>
      <c r="D63" s="3">
        <v>2.95</v>
      </c>
      <c r="E63" s="5">
        <v>677.96610169491521</v>
      </c>
      <c r="F63" s="3" t="s">
        <v>36</v>
      </c>
      <c r="G63" s="3" t="s">
        <v>37</v>
      </c>
      <c r="H63" t="s">
        <v>35</v>
      </c>
      <c r="I63" t="s">
        <v>20</v>
      </c>
    </row>
    <row r="64" spans="1:9" x14ac:dyDescent="0.25">
      <c r="A64" s="3">
        <v>10514</v>
      </c>
      <c r="B64" s="4">
        <v>44884</v>
      </c>
      <c r="C64" t="s">
        <v>17</v>
      </c>
      <c r="D64" s="3">
        <v>4.99</v>
      </c>
      <c r="E64" s="5">
        <v>200.40080160320639</v>
      </c>
      <c r="F64" s="3" t="s">
        <v>36</v>
      </c>
      <c r="G64" s="3" t="s">
        <v>37</v>
      </c>
      <c r="H64" t="s">
        <v>35</v>
      </c>
      <c r="I64" t="s">
        <v>20</v>
      </c>
    </row>
    <row r="65" spans="1:9" x14ac:dyDescent="0.25">
      <c r="A65" s="3">
        <v>10515</v>
      </c>
      <c r="B65" s="4">
        <v>44885</v>
      </c>
      <c r="C65" t="s">
        <v>21</v>
      </c>
      <c r="D65" s="3">
        <v>12.99</v>
      </c>
      <c r="E65" s="5">
        <v>477.29022324865281</v>
      </c>
      <c r="F65" s="3" t="s">
        <v>36</v>
      </c>
      <c r="G65" s="3" t="s">
        <v>37</v>
      </c>
      <c r="H65" t="s">
        <v>35</v>
      </c>
      <c r="I65" t="s">
        <v>20</v>
      </c>
    </row>
    <row r="66" spans="1:9" x14ac:dyDescent="0.25">
      <c r="A66" s="3">
        <v>10516</v>
      </c>
      <c r="B66" s="4">
        <v>44885</v>
      </c>
      <c r="C66" t="s">
        <v>25</v>
      </c>
      <c r="D66" s="3">
        <v>9.9499999999999993</v>
      </c>
      <c r="E66" s="5">
        <v>201.00502512562818</v>
      </c>
      <c r="F66" s="3" t="s">
        <v>36</v>
      </c>
      <c r="G66" s="3" t="s">
        <v>37</v>
      </c>
      <c r="H66" t="s">
        <v>35</v>
      </c>
      <c r="I66" t="s">
        <v>20</v>
      </c>
    </row>
    <row r="67" spans="1:9" x14ac:dyDescent="0.25">
      <c r="A67" s="3">
        <v>10483</v>
      </c>
      <c r="B67" s="4">
        <v>44878</v>
      </c>
      <c r="C67" t="s">
        <v>14</v>
      </c>
      <c r="D67" s="3">
        <v>2.95</v>
      </c>
      <c r="E67" s="5">
        <v>677.96610169491521</v>
      </c>
      <c r="F67" s="3" t="s">
        <v>18</v>
      </c>
      <c r="G67" s="3" t="s">
        <v>22</v>
      </c>
      <c r="H67" t="s">
        <v>19</v>
      </c>
      <c r="I67" t="s">
        <v>20</v>
      </c>
    </row>
    <row r="68" spans="1:9" x14ac:dyDescent="0.25">
      <c r="A68" s="3">
        <v>10484</v>
      </c>
      <c r="B68" s="4">
        <v>44878</v>
      </c>
      <c r="C68" t="s">
        <v>17</v>
      </c>
      <c r="D68" s="3">
        <v>4.99</v>
      </c>
      <c r="E68" s="5">
        <v>200.40080160320639</v>
      </c>
      <c r="F68" s="3" t="s">
        <v>18</v>
      </c>
      <c r="G68" s="3" t="s">
        <v>22</v>
      </c>
      <c r="H68" t="s">
        <v>19</v>
      </c>
      <c r="I68" t="s">
        <v>20</v>
      </c>
    </row>
    <row r="69" spans="1:9" x14ac:dyDescent="0.25">
      <c r="A69" s="3">
        <v>10485</v>
      </c>
      <c r="B69" s="4">
        <v>44879</v>
      </c>
      <c r="C69" t="s">
        <v>21</v>
      </c>
      <c r="D69" s="3">
        <v>12.99</v>
      </c>
      <c r="E69" s="5">
        <v>523.47959969207079</v>
      </c>
      <c r="F69" s="3" t="s">
        <v>18</v>
      </c>
      <c r="G69" s="3" t="s">
        <v>22</v>
      </c>
      <c r="H69" t="s">
        <v>19</v>
      </c>
      <c r="I69" t="s">
        <v>20</v>
      </c>
    </row>
    <row r="70" spans="1:9" x14ac:dyDescent="0.25">
      <c r="A70" s="3">
        <v>10520</v>
      </c>
      <c r="B70" s="4">
        <v>44886</v>
      </c>
      <c r="C70" t="s">
        <v>21</v>
      </c>
      <c r="D70" s="3">
        <v>12.99</v>
      </c>
      <c r="E70" s="5">
        <v>492.68668206312549</v>
      </c>
      <c r="F70" s="3" t="s">
        <v>36</v>
      </c>
      <c r="G70" s="3" t="s">
        <v>37</v>
      </c>
      <c r="H70" t="s">
        <v>28</v>
      </c>
      <c r="I70" t="s">
        <v>27</v>
      </c>
    </row>
    <row r="71" spans="1:9" x14ac:dyDescent="0.25">
      <c r="A71" s="3">
        <v>10521</v>
      </c>
      <c r="B71" s="4">
        <v>44886</v>
      </c>
      <c r="C71" t="s">
        <v>25</v>
      </c>
      <c r="D71" s="3">
        <v>9.9499999999999993</v>
      </c>
      <c r="E71" s="5">
        <v>201.00502512562818</v>
      </c>
      <c r="F71" s="3" t="s">
        <v>36</v>
      </c>
      <c r="G71" s="3" t="s">
        <v>37</v>
      </c>
      <c r="H71" t="s">
        <v>28</v>
      </c>
      <c r="I71" t="s">
        <v>27</v>
      </c>
    </row>
    <row r="72" spans="1:9" x14ac:dyDescent="0.25">
      <c r="A72" s="3">
        <v>10522</v>
      </c>
      <c r="B72" s="4">
        <v>44886</v>
      </c>
      <c r="C72" t="s">
        <v>9</v>
      </c>
      <c r="D72" s="3">
        <v>3.49</v>
      </c>
      <c r="E72" s="5">
        <v>687.67908309455584</v>
      </c>
      <c r="F72" s="3" t="s">
        <v>36</v>
      </c>
      <c r="G72" s="3" t="s">
        <v>37</v>
      </c>
      <c r="H72" t="s">
        <v>28</v>
      </c>
      <c r="I72" t="s">
        <v>27</v>
      </c>
    </row>
    <row r="73" spans="1:9" x14ac:dyDescent="0.25">
      <c r="A73" s="3">
        <v>10523</v>
      </c>
      <c r="B73" s="4">
        <v>44886</v>
      </c>
      <c r="C73" t="s">
        <v>14</v>
      </c>
      <c r="D73" s="3">
        <v>2.95</v>
      </c>
      <c r="E73" s="5">
        <v>745.7627118644067</v>
      </c>
      <c r="F73" s="3" t="s">
        <v>36</v>
      </c>
      <c r="G73" s="3" t="s">
        <v>37</v>
      </c>
      <c r="H73" t="s">
        <v>28</v>
      </c>
      <c r="I73" t="s">
        <v>27</v>
      </c>
    </row>
    <row r="74" spans="1:9" x14ac:dyDescent="0.25">
      <c r="A74" s="3">
        <v>10524</v>
      </c>
      <c r="B74" s="4">
        <v>44886</v>
      </c>
      <c r="C74" t="s">
        <v>17</v>
      </c>
      <c r="D74" s="3">
        <v>4.99</v>
      </c>
      <c r="E74" s="5">
        <v>200.40080160320639</v>
      </c>
      <c r="F74" s="3" t="s">
        <v>36</v>
      </c>
      <c r="G74" s="3" t="s">
        <v>37</v>
      </c>
      <c r="H74" t="s">
        <v>28</v>
      </c>
      <c r="I74" t="s">
        <v>27</v>
      </c>
    </row>
    <row r="75" spans="1:9" x14ac:dyDescent="0.25">
      <c r="A75" s="3">
        <v>10525</v>
      </c>
      <c r="B75" s="4">
        <v>44887</v>
      </c>
      <c r="C75" t="s">
        <v>21</v>
      </c>
      <c r="D75" s="3">
        <v>12.99</v>
      </c>
      <c r="E75" s="5">
        <v>461.89376443418013</v>
      </c>
      <c r="F75" s="3" t="s">
        <v>36</v>
      </c>
      <c r="G75" s="3" t="s">
        <v>37</v>
      </c>
      <c r="H75" t="s">
        <v>28</v>
      </c>
      <c r="I75" t="s">
        <v>27</v>
      </c>
    </row>
    <row r="76" spans="1:9" x14ac:dyDescent="0.25">
      <c r="A76" s="3">
        <v>10526</v>
      </c>
      <c r="B76" s="4">
        <v>44887</v>
      </c>
      <c r="C76" t="s">
        <v>25</v>
      </c>
      <c r="D76" s="3">
        <v>9.9499999999999993</v>
      </c>
      <c r="E76" s="5">
        <v>201.00502512562818</v>
      </c>
      <c r="F76" s="3" t="s">
        <v>36</v>
      </c>
      <c r="G76" s="3" t="s">
        <v>37</v>
      </c>
      <c r="H76" t="s">
        <v>28</v>
      </c>
      <c r="I76" t="s">
        <v>27</v>
      </c>
    </row>
    <row r="77" spans="1:9" x14ac:dyDescent="0.25">
      <c r="A77" s="3">
        <v>10527</v>
      </c>
      <c r="B77" s="4">
        <v>44887</v>
      </c>
      <c r="C77" t="s">
        <v>9</v>
      </c>
      <c r="D77" s="3">
        <v>3.49</v>
      </c>
      <c r="E77" s="5">
        <v>687.67908309455584</v>
      </c>
      <c r="F77" s="3" t="s">
        <v>36</v>
      </c>
      <c r="G77" s="3" t="s">
        <v>37</v>
      </c>
      <c r="H77" t="s">
        <v>28</v>
      </c>
      <c r="I77" t="s">
        <v>27</v>
      </c>
    </row>
    <row r="78" spans="1:9" x14ac:dyDescent="0.25">
      <c r="A78" s="3">
        <v>10528</v>
      </c>
      <c r="B78" s="4">
        <v>44887</v>
      </c>
      <c r="C78" t="s">
        <v>14</v>
      </c>
      <c r="D78" s="3">
        <v>2.95</v>
      </c>
      <c r="E78" s="5">
        <v>745.7627118644067</v>
      </c>
      <c r="F78" s="3" t="s">
        <v>36</v>
      </c>
      <c r="G78" s="3" t="s">
        <v>37</v>
      </c>
      <c r="H78" t="s">
        <v>28</v>
      </c>
      <c r="I78" t="s">
        <v>27</v>
      </c>
    </row>
    <row r="79" spans="1:9" x14ac:dyDescent="0.25">
      <c r="A79" s="3">
        <v>10529</v>
      </c>
      <c r="B79" s="4">
        <v>44887</v>
      </c>
      <c r="C79" t="s">
        <v>17</v>
      </c>
      <c r="D79" s="3">
        <v>4.99</v>
      </c>
      <c r="E79" s="5">
        <v>200.40080160320639</v>
      </c>
      <c r="F79" s="3" t="s">
        <v>36</v>
      </c>
      <c r="G79" s="3" t="s">
        <v>37</v>
      </c>
      <c r="H79" t="s">
        <v>28</v>
      </c>
      <c r="I79" t="s">
        <v>27</v>
      </c>
    </row>
    <row r="80" spans="1:9" x14ac:dyDescent="0.25">
      <c r="A80" s="3">
        <v>10530</v>
      </c>
      <c r="B80" s="4">
        <v>44888</v>
      </c>
      <c r="C80" t="s">
        <v>21</v>
      </c>
      <c r="D80" s="3">
        <v>12.99</v>
      </c>
      <c r="E80" s="5">
        <v>477.29022324865281</v>
      </c>
      <c r="F80" s="3" t="s">
        <v>36</v>
      </c>
      <c r="G80" s="3" t="s">
        <v>37</v>
      </c>
      <c r="H80" t="s">
        <v>28</v>
      </c>
      <c r="I80" t="s">
        <v>27</v>
      </c>
    </row>
    <row r="81" spans="1:9" x14ac:dyDescent="0.25">
      <c r="A81" s="3">
        <v>10531</v>
      </c>
      <c r="B81" s="4">
        <v>44888</v>
      </c>
      <c r="C81" t="s">
        <v>25</v>
      </c>
      <c r="D81" s="3">
        <v>9.9499999999999993</v>
      </c>
      <c r="E81" s="5">
        <v>201.00502512562818</v>
      </c>
      <c r="F81" s="3" t="s">
        <v>36</v>
      </c>
      <c r="G81" s="3" t="s">
        <v>37</v>
      </c>
      <c r="H81" t="s">
        <v>28</v>
      </c>
      <c r="I81" t="s">
        <v>27</v>
      </c>
    </row>
    <row r="82" spans="1:9" x14ac:dyDescent="0.25">
      <c r="A82" s="3">
        <v>10532</v>
      </c>
      <c r="B82" s="4">
        <v>44888</v>
      </c>
      <c r="C82" t="s">
        <v>9</v>
      </c>
      <c r="D82" s="3">
        <v>3.49</v>
      </c>
      <c r="E82" s="5">
        <v>687.67908309455584</v>
      </c>
      <c r="F82" s="3" t="s">
        <v>36</v>
      </c>
      <c r="G82" s="3" t="s">
        <v>37</v>
      </c>
      <c r="H82" t="s">
        <v>35</v>
      </c>
      <c r="I82" t="s">
        <v>20</v>
      </c>
    </row>
    <row r="83" spans="1:9" x14ac:dyDescent="0.25">
      <c r="A83" s="3">
        <v>10533</v>
      </c>
      <c r="B83" s="4">
        <v>44888</v>
      </c>
      <c r="C83" t="s">
        <v>14</v>
      </c>
      <c r="D83" s="3">
        <v>2.95</v>
      </c>
      <c r="E83" s="5">
        <v>745.7627118644067</v>
      </c>
      <c r="F83" s="3" t="s">
        <v>36</v>
      </c>
      <c r="G83" s="3" t="s">
        <v>37</v>
      </c>
      <c r="H83" t="s">
        <v>35</v>
      </c>
      <c r="I83" t="s">
        <v>20</v>
      </c>
    </row>
    <row r="84" spans="1:9" x14ac:dyDescent="0.25">
      <c r="A84" s="3">
        <v>10534</v>
      </c>
      <c r="B84" s="4">
        <v>44888</v>
      </c>
      <c r="C84" t="s">
        <v>17</v>
      </c>
      <c r="D84" s="3">
        <v>4.99</v>
      </c>
      <c r="E84" s="5">
        <v>200.40080160320639</v>
      </c>
      <c r="F84" s="3" t="s">
        <v>36</v>
      </c>
      <c r="G84" s="3" t="s">
        <v>37</v>
      </c>
      <c r="H84" t="s">
        <v>31</v>
      </c>
      <c r="I84" t="s">
        <v>16</v>
      </c>
    </row>
    <row r="85" spans="1:9" x14ac:dyDescent="0.25">
      <c r="A85" s="3">
        <v>10535</v>
      </c>
      <c r="B85" s="4">
        <v>44889</v>
      </c>
      <c r="C85" t="s">
        <v>21</v>
      </c>
      <c r="D85" s="3">
        <v>12.99</v>
      </c>
      <c r="E85" s="5">
        <v>477.29022324865281</v>
      </c>
      <c r="F85" s="3" t="s">
        <v>36</v>
      </c>
      <c r="G85" s="3" t="s">
        <v>22</v>
      </c>
      <c r="H85" t="s">
        <v>31</v>
      </c>
      <c r="I85" t="s">
        <v>16</v>
      </c>
    </row>
    <row r="86" spans="1:9" x14ac:dyDescent="0.25">
      <c r="A86" s="3">
        <v>10536</v>
      </c>
      <c r="B86" s="4">
        <v>44889</v>
      </c>
      <c r="C86" t="s">
        <v>25</v>
      </c>
      <c r="D86" s="3">
        <v>9.9499999999999993</v>
      </c>
      <c r="E86" s="5">
        <v>201.00502512562818</v>
      </c>
      <c r="F86" s="3" t="s">
        <v>36</v>
      </c>
      <c r="G86" s="3" t="s">
        <v>22</v>
      </c>
      <c r="H86" t="s">
        <v>31</v>
      </c>
      <c r="I86" t="s">
        <v>16</v>
      </c>
    </row>
    <row r="87" spans="1:9" x14ac:dyDescent="0.25">
      <c r="A87" s="3">
        <v>10537</v>
      </c>
      <c r="B87" s="4">
        <v>44889</v>
      </c>
      <c r="C87" t="s">
        <v>9</v>
      </c>
      <c r="D87" s="3">
        <v>3.49</v>
      </c>
      <c r="E87" s="5">
        <v>630.3724928366762</v>
      </c>
      <c r="F87" s="3" t="s">
        <v>36</v>
      </c>
      <c r="G87" s="3" t="s">
        <v>22</v>
      </c>
      <c r="H87" t="s">
        <v>31</v>
      </c>
      <c r="I87" t="s">
        <v>16</v>
      </c>
    </row>
    <row r="88" spans="1:9" x14ac:dyDescent="0.25">
      <c r="A88" s="3">
        <v>10538</v>
      </c>
      <c r="B88" s="4">
        <v>44889</v>
      </c>
      <c r="C88" t="s">
        <v>14</v>
      </c>
      <c r="D88" s="3">
        <v>2.95</v>
      </c>
      <c r="E88" s="5">
        <v>745.7627118644067</v>
      </c>
      <c r="F88" s="3" t="s">
        <v>36</v>
      </c>
      <c r="G88" s="3" t="s">
        <v>22</v>
      </c>
      <c r="H88" t="s">
        <v>31</v>
      </c>
      <c r="I88" t="s">
        <v>16</v>
      </c>
    </row>
    <row r="89" spans="1:9" x14ac:dyDescent="0.25">
      <c r="A89" s="3">
        <v>10539</v>
      </c>
      <c r="B89" s="4">
        <v>44889</v>
      </c>
      <c r="C89" t="s">
        <v>17</v>
      </c>
      <c r="D89" s="3">
        <v>4.99</v>
      </c>
      <c r="E89" s="5">
        <v>200.40080160320639</v>
      </c>
      <c r="F89" s="3" t="s">
        <v>36</v>
      </c>
      <c r="G89" s="3" t="s">
        <v>22</v>
      </c>
      <c r="H89" t="s">
        <v>31</v>
      </c>
      <c r="I89" t="s">
        <v>16</v>
      </c>
    </row>
    <row r="90" spans="1:9" x14ac:dyDescent="0.25">
      <c r="A90" s="3">
        <v>10540</v>
      </c>
      <c r="B90" s="4">
        <v>44890</v>
      </c>
      <c r="C90" t="s">
        <v>21</v>
      </c>
      <c r="D90" s="3">
        <v>12.99</v>
      </c>
      <c r="E90" s="5">
        <v>461.89376443418013</v>
      </c>
      <c r="F90" s="3" t="s">
        <v>36</v>
      </c>
      <c r="G90" s="3" t="s">
        <v>22</v>
      </c>
      <c r="H90" t="s">
        <v>31</v>
      </c>
      <c r="I90" t="s">
        <v>16</v>
      </c>
    </row>
    <row r="91" spans="1:9" x14ac:dyDescent="0.25">
      <c r="A91" s="3">
        <v>10541</v>
      </c>
      <c r="B91" s="4">
        <v>44890</v>
      </c>
      <c r="C91" t="s">
        <v>25</v>
      </c>
      <c r="D91" s="3">
        <v>9.9499999999999993</v>
      </c>
      <c r="E91" s="5">
        <v>201.00502512562818</v>
      </c>
      <c r="F91" s="3" t="s">
        <v>36</v>
      </c>
      <c r="G91" s="3" t="s">
        <v>22</v>
      </c>
      <c r="H91" t="s">
        <v>38</v>
      </c>
      <c r="I91" t="s">
        <v>13</v>
      </c>
    </row>
    <row r="92" spans="1:9" x14ac:dyDescent="0.25">
      <c r="A92" s="3">
        <v>10542</v>
      </c>
      <c r="B92" s="4">
        <v>44890</v>
      </c>
      <c r="C92" t="s">
        <v>9</v>
      </c>
      <c r="D92" s="3">
        <v>3.49</v>
      </c>
      <c r="E92" s="5">
        <v>630.3724928366762</v>
      </c>
      <c r="F92" s="3" t="s">
        <v>36</v>
      </c>
      <c r="G92" s="3" t="s">
        <v>22</v>
      </c>
      <c r="H92" t="s">
        <v>38</v>
      </c>
      <c r="I92" t="s">
        <v>13</v>
      </c>
    </row>
    <row r="93" spans="1:9" x14ac:dyDescent="0.25">
      <c r="A93" s="3">
        <v>10543</v>
      </c>
      <c r="B93" s="4">
        <v>44890</v>
      </c>
      <c r="C93" t="s">
        <v>14</v>
      </c>
      <c r="D93" s="3">
        <v>2.95</v>
      </c>
      <c r="E93" s="5">
        <v>745.7627118644067</v>
      </c>
      <c r="F93" s="3" t="s">
        <v>36</v>
      </c>
      <c r="G93" s="3" t="s">
        <v>22</v>
      </c>
      <c r="H93" t="s">
        <v>38</v>
      </c>
      <c r="I93" t="s">
        <v>13</v>
      </c>
    </row>
    <row r="94" spans="1:9" x14ac:dyDescent="0.25">
      <c r="A94" s="3">
        <v>10544</v>
      </c>
      <c r="B94" s="4">
        <v>44890</v>
      </c>
      <c r="C94" t="s">
        <v>17</v>
      </c>
      <c r="D94" s="3">
        <v>4.99</v>
      </c>
      <c r="E94" s="5">
        <v>200.40080160320639</v>
      </c>
      <c r="F94" s="3" t="s">
        <v>36</v>
      </c>
      <c r="G94" s="3" t="s">
        <v>22</v>
      </c>
      <c r="H94" t="s">
        <v>38</v>
      </c>
      <c r="I94" t="s">
        <v>13</v>
      </c>
    </row>
    <row r="95" spans="1:9" x14ac:dyDescent="0.25">
      <c r="A95" s="3">
        <v>10545</v>
      </c>
      <c r="B95" s="4">
        <v>44891</v>
      </c>
      <c r="C95" t="s">
        <v>21</v>
      </c>
      <c r="D95" s="3">
        <v>12.99</v>
      </c>
      <c r="E95" s="5">
        <v>446.49730561970739</v>
      </c>
      <c r="F95" s="3" t="s">
        <v>36</v>
      </c>
      <c r="G95" s="3" t="s">
        <v>22</v>
      </c>
      <c r="H95" t="s">
        <v>38</v>
      </c>
      <c r="I95" t="s">
        <v>13</v>
      </c>
    </row>
    <row r="96" spans="1:9" x14ac:dyDescent="0.25">
      <c r="A96" s="3">
        <v>10546</v>
      </c>
      <c r="B96" s="4">
        <v>44891</v>
      </c>
      <c r="C96" t="s">
        <v>25</v>
      </c>
      <c r="D96" s="3">
        <v>9.9499999999999993</v>
      </c>
      <c r="E96" s="5">
        <v>201.00502512562818</v>
      </c>
      <c r="F96" s="3" t="s">
        <v>36</v>
      </c>
      <c r="G96" s="3" t="s">
        <v>22</v>
      </c>
      <c r="H96" t="s">
        <v>38</v>
      </c>
      <c r="I96" t="s">
        <v>13</v>
      </c>
    </row>
    <row r="97" spans="1:9" x14ac:dyDescent="0.25">
      <c r="A97" s="3">
        <v>10547</v>
      </c>
      <c r="B97" s="4">
        <v>44891</v>
      </c>
      <c r="C97" t="s">
        <v>9</v>
      </c>
      <c r="D97" s="3">
        <v>3.49</v>
      </c>
      <c r="E97" s="5">
        <v>630.3724928366762</v>
      </c>
      <c r="F97" s="3" t="s">
        <v>36</v>
      </c>
      <c r="G97" s="3" t="s">
        <v>22</v>
      </c>
      <c r="H97" t="s">
        <v>38</v>
      </c>
      <c r="I97" t="s">
        <v>13</v>
      </c>
    </row>
    <row r="98" spans="1:9" x14ac:dyDescent="0.25">
      <c r="A98" s="3">
        <v>10548</v>
      </c>
      <c r="B98" s="4">
        <v>44891</v>
      </c>
      <c r="C98" t="s">
        <v>14</v>
      </c>
      <c r="D98" s="3">
        <v>2.95</v>
      </c>
      <c r="E98" s="5">
        <v>745.7627118644067</v>
      </c>
      <c r="F98" s="3" t="s">
        <v>36</v>
      </c>
      <c r="G98" s="3" t="s">
        <v>22</v>
      </c>
      <c r="H98" t="s">
        <v>38</v>
      </c>
      <c r="I98" t="s">
        <v>13</v>
      </c>
    </row>
    <row r="99" spans="1:9" x14ac:dyDescent="0.25">
      <c r="A99" s="3">
        <v>10549</v>
      </c>
      <c r="B99" s="4">
        <v>44891</v>
      </c>
      <c r="C99" t="s">
        <v>17</v>
      </c>
      <c r="D99" s="3">
        <v>4.99</v>
      </c>
      <c r="E99" s="5">
        <v>200.40080160320639</v>
      </c>
      <c r="F99" s="3" t="s">
        <v>36</v>
      </c>
      <c r="G99" s="3" t="s">
        <v>22</v>
      </c>
      <c r="H99" t="s">
        <v>38</v>
      </c>
      <c r="I99" t="s">
        <v>13</v>
      </c>
    </row>
    <row r="100" spans="1:9" x14ac:dyDescent="0.25">
      <c r="A100" s="3">
        <v>10550</v>
      </c>
      <c r="B100" s="4">
        <v>44892</v>
      </c>
      <c r="C100" t="s">
        <v>21</v>
      </c>
      <c r="D100" s="3">
        <v>12.99</v>
      </c>
      <c r="E100" s="5">
        <v>461.89376443418013</v>
      </c>
      <c r="F100" s="3" t="s">
        <v>36</v>
      </c>
      <c r="G100" s="3" t="s">
        <v>22</v>
      </c>
      <c r="H100" t="s">
        <v>38</v>
      </c>
      <c r="I100" t="s">
        <v>13</v>
      </c>
    </row>
    <row r="101" spans="1:9" x14ac:dyDescent="0.25">
      <c r="A101" s="3">
        <v>10551</v>
      </c>
      <c r="B101" s="4">
        <v>44892</v>
      </c>
      <c r="C101" t="s">
        <v>25</v>
      </c>
      <c r="D101" s="3">
        <v>9.9499999999999993</v>
      </c>
      <c r="E101" s="5">
        <v>201.00502512562818</v>
      </c>
      <c r="F101" s="3" t="s">
        <v>36</v>
      </c>
      <c r="G101" s="3" t="s">
        <v>22</v>
      </c>
      <c r="H101" t="s">
        <v>38</v>
      </c>
      <c r="I101" t="s">
        <v>13</v>
      </c>
    </row>
    <row r="102" spans="1:9" x14ac:dyDescent="0.25">
      <c r="A102" s="3">
        <v>10552</v>
      </c>
      <c r="B102" s="4">
        <v>44892</v>
      </c>
      <c r="C102" t="s">
        <v>9</v>
      </c>
      <c r="D102" s="3">
        <v>3.49</v>
      </c>
      <c r="E102" s="5">
        <v>630.3724928366762</v>
      </c>
      <c r="F102" s="3" t="s">
        <v>10</v>
      </c>
      <c r="G102" s="3" t="s">
        <v>22</v>
      </c>
      <c r="H102" t="s">
        <v>38</v>
      </c>
      <c r="I102" t="s">
        <v>13</v>
      </c>
    </row>
    <row r="103" spans="1:9" x14ac:dyDescent="0.25">
      <c r="A103" s="3">
        <v>10553</v>
      </c>
      <c r="B103" s="4">
        <v>44892</v>
      </c>
      <c r="C103" t="s">
        <v>14</v>
      </c>
      <c r="D103" s="3">
        <v>2.95</v>
      </c>
      <c r="E103" s="5">
        <v>745.7627118644067</v>
      </c>
      <c r="F103" s="3" t="s">
        <v>10</v>
      </c>
      <c r="G103" s="3" t="s">
        <v>22</v>
      </c>
      <c r="H103" t="s">
        <v>38</v>
      </c>
      <c r="I103" t="s">
        <v>13</v>
      </c>
    </row>
    <row r="104" spans="1:9" x14ac:dyDescent="0.25">
      <c r="A104" s="3">
        <v>10554</v>
      </c>
      <c r="B104" s="4">
        <v>44892</v>
      </c>
      <c r="C104" t="s">
        <v>17</v>
      </c>
      <c r="D104" s="3">
        <v>4.99</v>
      </c>
      <c r="E104" s="5">
        <v>200.40080160320639</v>
      </c>
      <c r="F104" s="3" t="s">
        <v>10</v>
      </c>
      <c r="G104" s="3" t="s">
        <v>22</v>
      </c>
      <c r="H104" t="s">
        <v>38</v>
      </c>
      <c r="I104" t="s">
        <v>13</v>
      </c>
    </row>
    <row r="105" spans="1:9" x14ac:dyDescent="0.25">
      <c r="A105" s="3">
        <v>10555</v>
      </c>
      <c r="B105" s="4">
        <v>44893</v>
      </c>
      <c r="C105" t="s">
        <v>21</v>
      </c>
      <c r="D105" s="3">
        <v>12.99</v>
      </c>
      <c r="E105" s="5">
        <v>477.29022324865281</v>
      </c>
      <c r="F105" s="3" t="s">
        <v>10</v>
      </c>
      <c r="G105" s="3" t="s">
        <v>22</v>
      </c>
      <c r="H105" t="s">
        <v>38</v>
      </c>
      <c r="I105" t="s">
        <v>13</v>
      </c>
    </row>
    <row r="106" spans="1:9" x14ac:dyDescent="0.25">
      <c r="A106" s="3">
        <v>10556</v>
      </c>
      <c r="B106" s="4">
        <v>44893</v>
      </c>
      <c r="C106" t="s">
        <v>25</v>
      </c>
      <c r="D106" s="3">
        <v>9.9499999999999993</v>
      </c>
      <c r="E106" s="5">
        <v>201.00502512562818</v>
      </c>
      <c r="F106" s="3" t="s">
        <v>10</v>
      </c>
      <c r="G106" s="3" t="s">
        <v>22</v>
      </c>
      <c r="H106" t="s">
        <v>38</v>
      </c>
      <c r="I106" t="s">
        <v>13</v>
      </c>
    </row>
    <row r="107" spans="1:9" x14ac:dyDescent="0.25">
      <c r="A107" s="3">
        <v>10557</v>
      </c>
      <c r="B107" s="4">
        <v>44893</v>
      </c>
      <c r="C107" t="s">
        <v>9</v>
      </c>
      <c r="D107" s="3">
        <v>3.49</v>
      </c>
      <c r="E107" s="5">
        <v>630.3724928366762</v>
      </c>
      <c r="F107" s="3" t="s">
        <v>10</v>
      </c>
      <c r="G107" s="3" t="s">
        <v>22</v>
      </c>
      <c r="H107" t="s">
        <v>38</v>
      </c>
      <c r="I107" t="s">
        <v>13</v>
      </c>
    </row>
    <row r="108" spans="1:9" x14ac:dyDescent="0.25">
      <c r="A108" s="3">
        <v>10558</v>
      </c>
      <c r="B108" s="4">
        <v>44893</v>
      </c>
      <c r="C108" t="s">
        <v>14</v>
      </c>
      <c r="D108" s="3">
        <v>2.95</v>
      </c>
      <c r="E108" s="5">
        <v>677.96610169491521</v>
      </c>
      <c r="F108" s="3" t="s">
        <v>10</v>
      </c>
      <c r="G108" s="3" t="s">
        <v>22</v>
      </c>
      <c r="H108" t="s">
        <v>38</v>
      </c>
      <c r="I108" t="s">
        <v>13</v>
      </c>
    </row>
    <row r="109" spans="1:9" x14ac:dyDescent="0.25">
      <c r="A109" s="3">
        <v>10559</v>
      </c>
      <c r="B109" s="4">
        <v>44893</v>
      </c>
      <c r="C109" t="s">
        <v>17</v>
      </c>
      <c r="D109" s="3">
        <v>4.99</v>
      </c>
      <c r="E109" s="5">
        <v>200.40080160320639</v>
      </c>
      <c r="F109" s="3" t="s">
        <v>10</v>
      </c>
      <c r="G109" s="3" t="s">
        <v>22</v>
      </c>
      <c r="H109" t="s">
        <v>38</v>
      </c>
      <c r="I109" t="s">
        <v>13</v>
      </c>
    </row>
    <row r="110" spans="1:9" x14ac:dyDescent="0.25">
      <c r="A110" s="3">
        <v>10560</v>
      </c>
      <c r="B110" s="4">
        <v>44894</v>
      </c>
      <c r="C110" t="s">
        <v>21</v>
      </c>
      <c r="D110" s="3">
        <v>12.99</v>
      </c>
      <c r="E110" s="5">
        <v>477.29022324865281</v>
      </c>
      <c r="F110" s="3" t="s">
        <v>10</v>
      </c>
      <c r="G110" s="3" t="s">
        <v>22</v>
      </c>
      <c r="H110" t="s">
        <v>38</v>
      </c>
      <c r="I110" t="s">
        <v>13</v>
      </c>
    </row>
    <row r="111" spans="1:9" x14ac:dyDescent="0.25">
      <c r="A111" s="3">
        <v>10561</v>
      </c>
      <c r="B111" s="4">
        <v>44894</v>
      </c>
      <c r="C111" t="s">
        <v>25</v>
      </c>
      <c r="D111" s="3">
        <v>9.9499999999999993</v>
      </c>
      <c r="E111" s="5">
        <v>201.00502512562818</v>
      </c>
      <c r="F111" s="3" t="s">
        <v>10</v>
      </c>
      <c r="G111" s="3" t="s">
        <v>22</v>
      </c>
      <c r="H111" t="s">
        <v>38</v>
      </c>
      <c r="I111" t="s">
        <v>13</v>
      </c>
    </row>
    <row r="112" spans="1:9" x14ac:dyDescent="0.25">
      <c r="A112" s="3">
        <v>10562</v>
      </c>
      <c r="B112" s="4">
        <v>44894</v>
      </c>
      <c r="C112" t="s">
        <v>9</v>
      </c>
      <c r="D112" s="3">
        <v>3.49</v>
      </c>
      <c r="E112" s="5">
        <v>630.3724928366762</v>
      </c>
      <c r="F112" s="3" t="s">
        <v>10</v>
      </c>
      <c r="G112" s="3" t="s">
        <v>22</v>
      </c>
      <c r="H112" t="s">
        <v>38</v>
      </c>
      <c r="I112" t="s">
        <v>13</v>
      </c>
    </row>
    <row r="113" spans="1:9" x14ac:dyDescent="0.25">
      <c r="A113" s="3">
        <v>10563</v>
      </c>
      <c r="B113" s="4">
        <v>44894</v>
      </c>
      <c r="C113" t="s">
        <v>14</v>
      </c>
      <c r="D113" s="3">
        <v>2.95</v>
      </c>
      <c r="E113" s="5">
        <v>677.96610169491521</v>
      </c>
      <c r="F113" s="3" t="s">
        <v>10</v>
      </c>
      <c r="G113" s="3" t="s">
        <v>22</v>
      </c>
      <c r="H113" t="s">
        <v>38</v>
      </c>
      <c r="I113" t="s">
        <v>13</v>
      </c>
    </row>
    <row r="114" spans="1:9" x14ac:dyDescent="0.25">
      <c r="A114" s="3">
        <v>10564</v>
      </c>
      <c r="B114" s="4">
        <v>44894</v>
      </c>
      <c r="C114" t="s">
        <v>17</v>
      </c>
      <c r="D114" s="3">
        <v>4.99</v>
      </c>
      <c r="E114" s="5">
        <v>200.40080160320639</v>
      </c>
      <c r="F114" s="3" t="s">
        <v>10</v>
      </c>
      <c r="G114" s="3" t="s">
        <v>22</v>
      </c>
      <c r="H114" t="s">
        <v>38</v>
      </c>
      <c r="I114" t="s">
        <v>13</v>
      </c>
    </row>
    <row r="115" spans="1:9" x14ac:dyDescent="0.25">
      <c r="A115" s="3">
        <v>10565</v>
      </c>
      <c r="B115" s="4">
        <v>44895</v>
      </c>
      <c r="C115" t="s">
        <v>21</v>
      </c>
      <c r="D115" s="3">
        <v>12.99</v>
      </c>
      <c r="E115" s="5">
        <v>492.68668206312549</v>
      </c>
      <c r="F115" s="3" t="s">
        <v>10</v>
      </c>
      <c r="G115" s="3" t="s">
        <v>22</v>
      </c>
      <c r="H115" t="s">
        <v>38</v>
      </c>
      <c r="I115" t="s">
        <v>13</v>
      </c>
    </row>
    <row r="116" spans="1:9" x14ac:dyDescent="0.25">
      <c r="A116" s="3">
        <v>10566</v>
      </c>
      <c r="B116" s="4">
        <v>44895</v>
      </c>
      <c r="C116" t="s">
        <v>25</v>
      </c>
      <c r="D116" s="3">
        <v>9.9499999999999993</v>
      </c>
      <c r="E116" s="5">
        <v>201.00502512562818</v>
      </c>
      <c r="F116" s="3" t="s">
        <v>10</v>
      </c>
      <c r="G116" s="3" t="s">
        <v>22</v>
      </c>
      <c r="H116" t="s">
        <v>38</v>
      </c>
      <c r="I116" t="s">
        <v>13</v>
      </c>
    </row>
    <row r="117" spans="1:9" x14ac:dyDescent="0.25">
      <c r="A117" s="3">
        <v>10567</v>
      </c>
      <c r="B117" s="4">
        <v>44895</v>
      </c>
      <c r="C117" t="s">
        <v>9</v>
      </c>
      <c r="D117" s="3">
        <v>3.49</v>
      </c>
      <c r="E117" s="5">
        <v>630.3724928366762</v>
      </c>
      <c r="F117" s="3" t="s">
        <v>10</v>
      </c>
      <c r="G117" s="3" t="s">
        <v>22</v>
      </c>
      <c r="H117" t="s">
        <v>38</v>
      </c>
      <c r="I117" t="s">
        <v>13</v>
      </c>
    </row>
    <row r="118" spans="1:9" x14ac:dyDescent="0.25">
      <c r="A118" s="3">
        <v>10568</v>
      </c>
      <c r="B118" s="4">
        <v>44895</v>
      </c>
      <c r="C118" t="s">
        <v>14</v>
      </c>
      <c r="D118" s="3">
        <v>2.95</v>
      </c>
      <c r="E118" s="5">
        <v>677.96610169491521</v>
      </c>
      <c r="F118" s="3" t="s">
        <v>10</v>
      </c>
      <c r="G118" s="3" t="s">
        <v>22</v>
      </c>
      <c r="H118" t="s">
        <v>38</v>
      </c>
      <c r="I118" t="s">
        <v>13</v>
      </c>
    </row>
    <row r="119" spans="1:9" x14ac:dyDescent="0.25">
      <c r="A119" s="3">
        <v>10569</v>
      </c>
      <c r="B119" s="4">
        <v>44895</v>
      </c>
      <c r="C119" t="s">
        <v>17</v>
      </c>
      <c r="D119" s="3">
        <v>4.99</v>
      </c>
      <c r="E119" s="5">
        <v>200.40080160320639</v>
      </c>
      <c r="F119" s="3" t="s">
        <v>10</v>
      </c>
      <c r="G119" s="3" t="s">
        <v>22</v>
      </c>
      <c r="H119" t="s">
        <v>38</v>
      </c>
      <c r="I119" t="s">
        <v>13</v>
      </c>
    </row>
    <row r="120" spans="1:9" x14ac:dyDescent="0.25">
      <c r="A120" s="3">
        <v>10570</v>
      </c>
      <c r="B120" s="4">
        <v>44896</v>
      </c>
      <c r="C120" t="s">
        <v>21</v>
      </c>
      <c r="D120" s="3">
        <v>12.99</v>
      </c>
      <c r="E120" s="5">
        <v>492.68668206312549</v>
      </c>
      <c r="F120" s="3" t="s">
        <v>10</v>
      </c>
      <c r="G120" s="3" t="s">
        <v>22</v>
      </c>
      <c r="H120" t="s">
        <v>38</v>
      </c>
      <c r="I120" t="s">
        <v>13</v>
      </c>
    </row>
    <row r="121" spans="1:9" x14ac:dyDescent="0.25">
      <c r="A121" s="3">
        <v>10571</v>
      </c>
      <c r="B121" s="4">
        <v>44896</v>
      </c>
      <c r="C121" t="s">
        <v>25</v>
      </c>
      <c r="D121" s="3">
        <v>9.9499999999999993</v>
      </c>
      <c r="E121" s="5">
        <v>201.00502512562818</v>
      </c>
      <c r="F121" s="3" t="s">
        <v>10</v>
      </c>
      <c r="G121" s="3" t="s">
        <v>22</v>
      </c>
      <c r="H121" t="s">
        <v>38</v>
      </c>
      <c r="I121" t="s">
        <v>13</v>
      </c>
    </row>
    <row r="122" spans="1:9" x14ac:dyDescent="0.25">
      <c r="A122" s="3">
        <v>10572</v>
      </c>
      <c r="B122" s="4">
        <v>44896</v>
      </c>
      <c r="C122" t="s">
        <v>9</v>
      </c>
      <c r="D122" s="3">
        <v>3.49</v>
      </c>
      <c r="E122" s="5">
        <v>573.06590257879645</v>
      </c>
      <c r="F122" s="3" t="s">
        <v>10</v>
      </c>
      <c r="G122" s="3" t="s">
        <v>22</v>
      </c>
      <c r="H122" t="s">
        <v>28</v>
      </c>
      <c r="I122" t="s">
        <v>27</v>
      </c>
    </row>
    <row r="123" spans="1:9" x14ac:dyDescent="0.25">
      <c r="A123" s="3">
        <v>10573</v>
      </c>
      <c r="B123" s="4">
        <v>44896</v>
      </c>
      <c r="C123" t="s">
        <v>14</v>
      </c>
      <c r="D123" s="3">
        <v>2.95</v>
      </c>
      <c r="E123" s="5">
        <v>677.96610169491521</v>
      </c>
      <c r="F123" s="3" t="s">
        <v>10</v>
      </c>
      <c r="G123" s="3" t="s">
        <v>22</v>
      </c>
      <c r="H123" t="s">
        <v>28</v>
      </c>
      <c r="I123" t="s">
        <v>27</v>
      </c>
    </row>
    <row r="124" spans="1:9" x14ac:dyDescent="0.25">
      <c r="A124" s="3">
        <v>10574</v>
      </c>
      <c r="B124" s="4">
        <v>44896</v>
      </c>
      <c r="C124" t="s">
        <v>17</v>
      </c>
      <c r="D124" s="3">
        <v>4.99</v>
      </c>
      <c r="E124" s="5">
        <v>200.40080160320639</v>
      </c>
      <c r="F124" s="3" t="s">
        <v>10</v>
      </c>
      <c r="G124" s="3" t="s">
        <v>22</v>
      </c>
      <c r="H124" t="s">
        <v>28</v>
      </c>
      <c r="I124" t="s">
        <v>27</v>
      </c>
    </row>
    <row r="125" spans="1:9" x14ac:dyDescent="0.25">
      <c r="A125" s="3">
        <v>10575</v>
      </c>
      <c r="B125" s="4">
        <v>44897</v>
      </c>
      <c r="C125" t="s">
        <v>21</v>
      </c>
      <c r="D125" s="3">
        <v>12.99</v>
      </c>
      <c r="E125" s="5">
        <v>523.47959969207079</v>
      </c>
      <c r="F125" s="3" t="s">
        <v>10</v>
      </c>
      <c r="G125" s="3" t="s">
        <v>22</v>
      </c>
      <c r="H125" t="s">
        <v>28</v>
      </c>
      <c r="I125" t="s">
        <v>27</v>
      </c>
    </row>
    <row r="126" spans="1:9" x14ac:dyDescent="0.25">
      <c r="A126" s="3">
        <v>10576</v>
      </c>
      <c r="B126" s="4">
        <v>44897</v>
      </c>
      <c r="C126" t="s">
        <v>25</v>
      </c>
      <c r="D126" s="3">
        <v>9.9499999999999993</v>
      </c>
      <c r="E126" s="5">
        <v>201.00502512562818</v>
      </c>
      <c r="F126" s="3" t="s">
        <v>10</v>
      </c>
      <c r="G126" s="3" t="s">
        <v>22</v>
      </c>
      <c r="H126" t="s">
        <v>28</v>
      </c>
      <c r="I126" t="s">
        <v>27</v>
      </c>
    </row>
    <row r="127" spans="1:9" x14ac:dyDescent="0.25">
      <c r="A127" s="3">
        <v>10577</v>
      </c>
      <c r="B127" s="4">
        <v>44897</v>
      </c>
      <c r="C127" t="s">
        <v>9</v>
      </c>
      <c r="D127" s="3">
        <v>3.49</v>
      </c>
      <c r="E127" s="5">
        <v>630.3724928366762</v>
      </c>
      <c r="F127" s="3" t="s">
        <v>10</v>
      </c>
      <c r="G127" s="3" t="s">
        <v>22</v>
      </c>
      <c r="H127" t="s">
        <v>28</v>
      </c>
      <c r="I127" t="s">
        <v>27</v>
      </c>
    </row>
    <row r="128" spans="1:9" x14ac:dyDescent="0.25">
      <c r="A128" s="3">
        <v>10578</v>
      </c>
      <c r="B128" s="4">
        <v>44897</v>
      </c>
      <c r="C128" t="s">
        <v>14</v>
      </c>
      <c r="D128" s="3">
        <v>2.95</v>
      </c>
      <c r="E128" s="5">
        <v>677.96610169491521</v>
      </c>
      <c r="F128" s="3" t="s">
        <v>10</v>
      </c>
      <c r="G128" s="3" t="s">
        <v>22</v>
      </c>
      <c r="H128" t="s">
        <v>28</v>
      </c>
      <c r="I128" t="s">
        <v>27</v>
      </c>
    </row>
    <row r="129" spans="1:9" x14ac:dyDescent="0.25">
      <c r="A129" s="3">
        <v>10579</v>
      </c>
      <c r="B129" s="4">
        <v>44897</v>
      </c>
      <c r="C129" t="s">
        <v>17</v>
      </c>
      <c r="D129" s="3">
        <v>4.99</v>
      </c>
      <c r="E129" s="5">
        <v>200.40080160320639</v>
      </c>
      <c r="F129" s="3" t="s">
        <v>10</v>
      </c>
      <c r="G129" s="3" t="s">
        <v>22</v>
      </c>
      <c r="H129" t="s">
        <v>28</v>
      </c>
      <c r="I129" t="s">
        <v>27</v>
      </c>
    </row>
    <row r="130" spans="1:9" x14ac:dyDescent="0.25">
      <c r="A130" s="3">
        <v>10580</v>
      </c>
      <c r="B130" s="4">
        <v>44898</v>
      </c>
      <c r="C130" t="s">
        <v>21</v>
      </c>
      <c r="D130" s="3">
        <v>12.99</v>
      </c>
      <c r="E130" s="5">
        <v>523.47959969207079</v>
      </c>
      <c r="F130" s="3" t="s">
        <v>10</v>
      </c>
      <c r="G130" s="3" t="s">
        <v>22</v>
      </c>
      <c r="H130" t="s">
        <v>28</v>
      </c>
      <c r="I130" t="s">
        <v>27</v>
      </c>
    </row>
    <row r="131" spans="1:9" x14ac:dyDescent="0.25">
      <c r="A131" s="3">
        <v>10581</v>
      </c>
      <c r="B131" s="4">
        <v>44898</v>
      </c>
      <c r="C131" t="s">
        <v>25</v>
      </c>
      <c r="D131" s="3">
        <v>9.9499999999999993</v>
      </c>
      <c r="E131" s="5">
        <v>201.00502512562818</v>
      </c>
      <c r="F131" s="3" t="s">
        <v>10</v>
      </c>
      <c r="G131" s="3" t="s">
        <v>22</v>
      </c>
      <c r="H131" t="s">
        <v>28</v>
      </c>
      <c r="I131" t="s">
        <v>27</v>
      </c>
    </row>
    <row r="132" spans="1:9" x14ac:dyDescent="0.25">
      <c r="A132" s="3">
        <v>10582</v>
      </c>
      <c r="B132" s="4">
        <v>44898</v>
      </c>
      <c r="C132" t="s">
        <v>9</v>
      </c>
      <c r="D132" s="3">
        <v>3.49</v>
      </c>
      <c r="E132" s="5">
        <v>630.3724928366762</v>
      </c>
      <c r="F132" s="3" t="s">
        <v>10</v>
      </c>
      <c r="G132" s="3" t="s">
        <v>22</v>
      </c>
      <c r="H132" t="s">
        <v>38</v>
      </c>
      <c r="I132" t="s">
        <v>13</v>
      </c>
    </row>
    <row r="133" spans="1:9" x14ac:dyDescent="0.25">
      <c r="A133" s="3">
        <v>10583</v>
      </c>
      <c r="B133" s="4">
        <v>44898</v>
      </c>
      <c r="C133" t="s">
        <v>14</v>
      </c>
      <c r="D133" s="3">
        <v>2.95</v>
      </c>
      <c r="E133" s="5">
        <v>677.96610169491521</v>
      </c>
      <c r="F133" s="3" t="s">
        <v>10</v>
      </c>
      <c r="G133" s="3" t="s">
        <v>22</v>
      </c>
      <c r="H133" t="s">
        <v>38</v>
      </c>
      <c r="I133" t="s">
        <v>13</v>
      </c>
    </row>
    <row r="134" spans="1:9" x14ac:dyDescent="0.25">
      <c r="A134" s="3">
        <v>10584</v>
      </c>
      <c r="B134" s="4">
        <v>44898</v>
      </c>
      <c r="C134" t="s">
        <v>17</v>
      </c>
      <c r="D134" s="3">
        <v>4.99</v>
      </c>
      <c r="E134" s="5">
        <v>200.40080160320639</v>
      </c>
      <c r="F134" s="3" t="s">
        <v>10</v>
      </c>
      <c r="G134" s="3" t="s">
        <v>22</v>
      </c>
      <c r="H134" t="s">
        <v>38</v>
      </c>
      <c r="I134" t="s">
        <v>13</v>
      </c>
    </row>
    <row r="135" spans="1:9" x14ac:dyDescent="0.25">
      <c r="A135" s="3">
        <v>10585</v>
      </c>
      <c r="B135" s="4">
        <v>44899</v>
      </c>
      <c r="C135" t="s">
        <v>21</v>
      </c>
      <c r="D135" s="3">
        <v>12.99</v>
      </c>
      <c r="E135" s="5">
        <v>538.87605850654347</v>
      </c>
      <c r="F135" s="3" t="s">
        <v>10</v>
      </c>
      <c r="G135" s="3" t="s">
        <v>22</v>
      </c>
      <c r="H135" t="s">
        <v>38</v>
      </c>
      <c r="I135" t="s">
        <v>13</v>
      </c>
    </row>
    <row r="136" spans="1:9" x14ac:dyDescent="0.25">
      <c r="A136" s="3">
        <v>10586</v>
      </c>
      <c r="B136" s="4">
        <v>44899</v>
      </c>
      <c r="C136" t="s">
        <v>25</v>
      </c>
      <c r="D136" s="3">
        <v>9.9499999999999993</v>
      </c>
      <c r="E136" s="5">
        <v>201.00502512562818</v>
      </c>
      <c r="F136" s="3" t="s">
        <v>10</v>
      </c>
      <c r="G136" s="3" t="s">
        <v>22</v>
      </c>
      <c r="H136" t="s">
        <v>38</v>
      </c>
      <c r="I136" t="s">
        <v>13</v>
      </c>
    </row>
    <row r="137" spans="1:9" x14ac:dyDescent="0.25">
      <c r="A137" s="3">
        <v>10537</v>
      </c>
      <c r="B137" s="4">
        <v>44889</v>
      </c>
      <c r="C137" t="s">
        <v>9</v>
      </c>
      <c r="D137" s="3">
        <v>3.49</v>
      </c>
      <c r="E137" s="5">
        <v>630.3724928366762</v>
      </c>
      <c r="F137" s="3" t="s">
        <v>36</v>
      </c>
      <c r="G137" s="3" t="s">
        <v>22</v>
      </c>
      <c r="H137" t="s">
        <v>31</v>
      </c>
      <c r="I137" t="s">
        <v>16</v>
      </c>
    </row>
    <row r="138" spans="1:9" x14ac:dyDescent="0.25">
      <c r="A138" s="3">
        <v>10538</v>
      </c>
      <c r="B138" s="4">
        <v>44889</v>
      </c>
      <c r="C138" t="s">
        <v>14</v>
      </c>
      <c r="D138" s="3">
        <v>2.95</v>
      </c>
      <c r="E138" s="5">
        <v>745.7627118644067</v>
      </c>
      <c r="F138" s="3" t="s">
        <v>36</v>
      </c>
      <c r="G138" s="3" t="s">
        <v>22</v>
      </c>
      <c r="H138" t="s">
        <v>31</v>
      </c>
      <c r="I138" t="s">
        <v>16</v>
      </c>
    </row>
    <row r="139" spans="1:9" x14ac:dyDescent="0.25">
      <c r="A139" s="3">
        <v>10539</v>
      </c>
      <c r="B139" s="4">
        <v>44889</v>
      </c>
      <c r="C139" t="s">
        <v>17</v>
      </c>
      <c r="D139" s="3">
        <v>4.99</v>
      </c>
      <c r="E139" s="5">
        <v>200.40080160320639</v>
      </c>
      <c r="F139" s="3" t="s">
        <v>36</v>
      </c>
      <c r="G139" s="3" t="s">
        <v>22</v>
      </c>
      <c r="H139" t="s">
        <v>31</v>
      </c>
      <c r="I139" t="s">
        <v>16</v>
      </c>
    </row>
    <row r="140" spans="1:9" x14ac:dyDescent="0.25">
      <c r="A140" s="3">
        <v>10590</v>
      </c>
      <c r="B140" s="4">
        <v>44900</v>
      </c>
      <c r="C140" t="s">
        <v>21</v>
      </c>
      <c r="D140" s="3">
        <v>12.99</v>
      </c>
      <c r="E140" s="5">
        <v>554.27251732101615</v>
      </c>
      <c r="F140" s="3" t="s">
        <v>10</v>
      </c>
      <c r="G140" s="3" t="s">
        <v>22</v>
      </c>
      <c r="H140" t="s">
        <v>38</v>
      </c>
      <c r="I140" t="s">
        <v>13</v>
      </c>
    </row>
    <row r="141" spans="1:9" x14ac:dyDescent="0.25">
      <c r="A141" s="3">
        <v>10591</v>
      </c>
      <c r="B141" s="4">
        <v>44900</v>
      </c>
      <c r="C141" t="s">
        <v>25</v>
      </c>
      <c r="D141" s="3">
        <v>9.9499999999999993</v>
      </c>
      <c r="E141" s="5">
        <v>201.00502512562818</v>
      </c>
      <c r="F141" s="3" t="s">
        <v>10</v>
      </c>
      <c r="G141" s="3" t="s">
        <v>22</v>
      </c>
      <c r="H141" t="s">
        <v>38</v>
      </c>
      <c r="I141" t="s">
        <v>13</v>
      </c>
    </row>
    <row r="142" spans="1:9" x14ac:dyDescent="0.25">
      <c r="A142" s="3">
        <v>10592</v>
      </c>
      <c r="B142" s="4">
        <v>44900</v>
      </c>
      <c r="C142" t="s">
        <v>9</v>
      </c>
      <c r="D142" s="3">
        <v>3.49</v>
      </c>
      <c r="E142" s="5">
        <v>573.06590257879645</v>
      </c>
      <c r="F142" s="3" t="s">
        <v>10</v>
      </c>
      <c r="G142" s="3" t="s">
        <v>22</v>
      </c>
      <c r="H142" t="s">
        <v>38</v>
      </c>
      <c r="I142" t="s">
        <v>13</v>
      </c>
    </row>
    <row r="143" spans="1:9" x14ac:dyDescent="0.25">
      <c r="A143" s="3">
        <v>10593</v>
      </c>
      <c r="B143" s="4">
        <v>44900</v>
      </c>
      <c r="C143" t="s">
        <v>14</v>
      </c>
      <c r="D143" s="3">
        <v>2.95</v>
      </c>
      <c r="E143" s="5">
        <v>677.96610169491521</v>
      </c>
      <c r="F143" s="3" t="s">
        <v>10</v>
      </c>
      <c r="G143" s="3" t="s">
        <v>22</v>
      </c>
      <c r="H143" t="s">
        <v>38</v>
      </c>
      <c r="I143" t="s">
        <v>13</v>
      </c>
    </row>
    <row r="144" spans="1:9" x14ac:dyDescent="0.25">
      <c r="A144" s="3">
        <v>10594</v>
      </c>
      <c r="B144" s="4">
        <v>44900</v>
      </c>
      <c r="C144" t="s">
        <v>17</v>
      </c>
      <c r="D144" s="3">
        <v>4.99</v>
      </c>
      <c r="E144" s="5">
        <v>200.40080160320639</v>
      </c>
      <c r="F144" s="3" t="s">
        <v>10</v>
      </c>
      <c r="G144" s="3" t="s">
        <v>22</v>
      </c>
      <c r="H144" t="s">
        <v>38</v>
      </c>
      <c r="I144" t="s">
        <v>13</v>
      </c>
    </row>
    <row r="145" spans="1:9" x14ac:dyDescent="0.25">
      <c r="A145" s="3">
        <v>10595</v>
      </c>
      <c r="B145" s="4">
        <v>44901</v>
      </c>
      <c r="C145" t="s">
        <v>21</v>
      </c>
      <c r="D145" s="3">
        <v>12.99</v>
      </c>
      <c r="E145" s="5">
        <v>538.87605850654347</v>
      </c>
      <c r="F145" s="3" t="s">
        <v>10</v>
      </c>
      <c r="G145" s="3" t="s">
        <v>22</v>
      </c>
      <c r="H145" t="s">
        <v>38</v>
      </c>
      <c r="I145" t="s">
        <v>13</v>
      </c>
    </row>
    <row r="146" spans="1:9" x14ac:dyDescent="0.25">
      <c r="A146" s="3">
        <v>10596</v>
      </c>
      <c r="B146" s="4">
        <v>44901</v>
      </c>
      <c r="C146" t="s">
        <v>25</v>
      </c>
      <c r="D146" s="3">
        <v>9.9499999999999993</v>
      </c>
      <c r="E146" s="5">
        <v>201.00502512562818</v>
      </c>
      <c r="F146" s="3" t="s">
        <v>10</v>
      </c>
      <c r="G146" s="3" t="s">
        <v>22</v>
      </c>
      <c r="H146" t="s">
        <v>38</v>
      </c>
      <c r="I146" t="s">
        <v>13</v>
      </c>
    </row>
    <row r="147" spans="1:9" x14ac:dyDescent="0.25">
      <c r="A147" s="3">
        <v>10597</v>
      </c>
      <c r="B147" s="4">
        <v>44901</v>
      </c>
      <c r="C147" t="s">
        <v>9</v>
      </c>
      <c r="D147" s="3">
        <v>3.49</v>
      </c>
      <c r="E147" s="5">
        <v>573.06590257879645</v>
      </c>
      <c r="F147" s="3" t="s">
        <v>10</v>
      </c>
      <c r="G147" s="3" t="s">
        <v>22</v>
      </c>
      <c r="H147" t="s">
        <v>38</v>
      </c>
      <c r="I147" t="s">
        <v>13</v>
      </c>
    </row>
    <row r="148" spans="1:9" x14ac:dyDescent="0.25">
      <c r="A148" s="3">
        <v>10598</v>
      </c>
      <c r="B148" s="4">
        <v>44901</v>
      </c>
      <c r="C148" t="s">
        <v>14</v>
      </c>
      <c r="D148" s="3">
        <v>2.95</v>
      </c>
      <c r="E148" s="5">
        <v>677.96610169491521</v>
      </c>
      <c r="F148" s="3" t="s">
        <v>10</v>
      </c>
      <c r="G148" s="3" t="s">
        <v>22</v>
      </c>
      <c r="H148" t="s">
        <v>38</v>
      </c>
      <c r="I148" t="s">
        <v>13</v>
      </c>
    </row>
    <row r="149" spans="1:9" x14ac:dyDescent="0.25">
      <c r="A149" s="3">
        <v>10599</v>
      </c>
      <c r="B149" s="4">
        <v>44901</v>
      </c>
      <c r="C149" t="s">
        <v>17</v>
      </c>
      <c r="D149" s="3">
        <v>4.99</v>
      </c>
      <c r="E149" s="5">
        <v>200.40080160320639</v>
      </c>
      <c r="F149" s="3" t="s">
        <v>10</v>
      </c>
      <c r="G149" s="3" t="s">
        <v>22</v>
      </c>
      <c r="H149" t="s">
        <v>38</v>
      </c>
      <c r="I149" t="s">
        <v>13</v>
      </c>
    </row>
    <row r="150" spans="1:9" x14ac:dyDescent="0.25">
      <c r="A150" s="3">
        <v>10600</v>
      </c>
      <c r="B150" s="4">
        <v>44902</v>
      </c>
      <c r="C150" t="s">
        <v>21</v>
      </c>
      <c r="D150" s="3">
        <v>12.99</v>
      </c>
      <c r="E150" s="5">
        <v>523.47959969207079</v>
      </c>
      <c r="F150" s="3" t="s">
        <v>10</v>
      </c>
      <c r="G150" s="3" t="s">
        <v>22</v>
      </c>
      <c r="H150" t="s">
        <v>38</v>
      </c>
      <c r="I150" t="s">
        <v>13</v>
      </c>
    </row>
    <row r="151" spans="1:9" x14ac:dyDescent="0.25">
      <c r="A151" s="3">
        <v>10601</v>
      </c>
      <c r="B151" s="4">
        <v>44902</v>
      </c>
      <c r="C151" t="s">
        <v>25</v>
      </c>
      <c r="D151" s="3">
        <v>9.9499999999999993</v>
      </c>
      <c r="E151" s="5">
        <v>201.00502512562818</v>
      </c>
      <c r="F151" s="3" t="s">
        <v>10</v>
      </c>
      <c r="G151" s="3" t="s">
        <v>22</v>
      </c>
      <c r="H151" t="s">
        <v>38</v>
      </c>
      <c r="I151" t="s">
        <v>13</v>
      </c>
    </row>
    <row r="152" spans="1:9" x14ac:dyDescent="0.25">
      <c r="A152" s="3">
        <v>10602</v>
      </c>
      <c r="B152" s="4">
        <v>44902</v>
      </c>
      <c r="C152" t="s">
        <v>9</v>
      </c>
      <c r="D152" s="3">
        <v>3.49</v>
      </c>
      <c r="E152" s="5">
        <v>630.3724928366762</v>
      </c>
      <c r="F152" s="3" t="s">
        <v>10</v>
      </c>
      <c r="G152" s="3" t="s">
        <v>37</v>
      </c>
      <c r="H152" t="s">
        <v>38</v>
      </c>
      <c r="I152" t="s">
        <v>13</v>
      </c>
    </row>
    <row r="153" spans="1:9" x14ac:dyDescent="0.25">
      <c r="A153" s="3">
        <v>10603</v>
      </c>
      <c r="B153" s="4">
        <v>44902</v>
      </c>
      <c r="C153" t="s">
        <v>14</v>
      </c>
      <c r="D153" s="3">
        <v>2.95</v>
      </c>
      <c r="E153" s="5">
        <v>677.96610169491521</v>
      </c>
      <c r="F153" s="3" t="s">
        <v>10</v>
      </c>
      <c r="G153" s="3" t="s">
        <v>37</v>
      </c>
      <c r="H153" t="s">
        <v>38</v>
      </c>
      <c r="I153" t="s">
        <v>13</v>
      </c>
    </row>
    <row r="154" spans="1:9" x14ac:dyDescent="0.25">
      <c r="A154" s="3">
        <v>10604</v>
      </c>
      <c r="B154" s="4">
        <v>44902</v>
      </c>
      <c r="C154" t="s">
        <v>17</v>
      </c>
      <c r="D154" s="3">
        <v>4.99</v>
      </c>
      <c r="E154" s="5">
        <v>200.40080160320639</v>
      </c>
      <c r="F154" s="3" t="s">
        <v>10</v>
      </c>
      <c r="G154" s="3" t="s">
        <v>37</v>
      </c>
      <c r="H154" t="s">
        <v>38</v>
      </c>
      <c r="I154" t="s">
        <v>13</v>
      </c>
    </row>
    <row r="155" spans="1:9" x14ac:dyDescent="0.25">
      <c r="A155" s="3">
        <v>10605</v>
      </c>
      <c r="B155" s="4">
        <v>44903</v>
      </c>
      <c r="C155" t="s">
        <v>21</v>
      </c>
      <c r="D155" s="3">
        <v>12.99</v>
      </c>
      <c r="E155" s="5">
        <v>538.87605850654347</v>
      </c>
      <c r="F155" s="3" t="s">
        <v>10</v>
      </c>
      <c r="G155" s="3" t="s">
        <v>37</v>
      </c>
      <c r="H155" t="s">
        <v>38</v>
      </c>
      <c r="I155" t="s">
        <v>13</v>
      </c>
    </row>
    <row r="156" spans="1:9" x14ac:dyDescent="0.25">
      <c r="A156" s="3">
        <v>10606</v>
      </c>
      <c r="B156" s="4">
        <v>44903</v>
      </c>
      <c r="C156" t="s">
        <v>25</v>
      </c>
      <c r="D156" s="3">
        <v>9.9499999999999993</v>
      </c>
      <c r="E156" s="5">
        <v>201.00502512562818</v>
      </c>
      <c r="F156" s="3" t="s">
        <v>10</v>
      </c>
      <c r="G156" s="3" t="s">
        <v>37</v>
      </c>
      <c r="H156" t="s">
        <v>38</v>
      </c>
      <c r="I156" t="s">
        <v>13</v>
      </c>
    </row>
    <row r="157" spans="1:9" x14ac:dyDescent="0.25">
      <c r="A157" s="3">
        <v>10607</v>
      </c>
      <c r="B157" s="4">
        <v>44903</v>
      </c>
      <c r="C157" t="s">
        <v>9</v>
      </c>
      <c r="D157" s="3">
        <v>3.49</v>
      </c>
      <c r="E157" s="5">
        <v>630.3724928366762</v>
      </c>
      <c r="F157" s="3" t="s">
        <v>10</v>
      </c>
      <c r="G157" s="3" t="s">
        <v>37</v>
      </c>
      <c r="H157" t="s">
        <v>38</v>
      </c>
      <c r="I157" t="s">
        <v>13</v>
      </c>
    </row>
    <row r="158" spans="1:9" x14ac:dyDescent="0.25">
      <c r="A158" s="3">
        <v>10608</v>
      </c>
      <c r="B158" s="4">
        <v>44903</v>
      </c>
      <c r="C158" t="s">
        <v>14</v>
      </c>
      <c r="D158" s="3">
        <v>2.95</v>
      </c>
      <c r="E158" s="5">
        <v>677.96610169491521</v>
      </c>
      <c r="F158" s="3" t="s">
        <v>10</v>
      </c>
      <c r="G158" s="3" t="s">
        <v>11</v>
      </c>
      <c r="H158" t="s">
        <v>38</v>
      </c>
      <c r="I158" t="s">
        <v>13</v>
      </c>
    </row>
    <row r="159" spans="1:9" x14ac:dyDescent="0.25">
      <c r="A159" s="3">
        <v>10609</v>
      </c>
      <c r="B159" s="4">
        <v>44903</v>
      </c>
      <c r="C159" t="s">
        <v>17</v>
      </c>
      <c r="D159" s="3">
        <v>4.99</v>
      </c>
      <c r="E159" s="5">
        <v>200.40080160320639</v>
      </c>
      <c r="F159" s="3" t="s">
        <v>10</v>
      </c>
      <c r="G159" s="3" t="s">
        <v>11</v>
      </c>
      <c r="H159" t="s">
        <v>38</v>
      </c>
      <c r="I159" t="s">
        <v>13</v>
      </c>
    </row>
    <row r="160" spans="1:9" x14ac:dyDescent="0.25">
      <c r="A160" s="3">
        <v>10610</v>
      </c>
      <c r="B160" s="4">
        <v>44904</v>
      </c>
      <c r="C160" t="s">
        <v>21</v>
      </c>
      <c r="D160" s="3">
        <v>12.99</v>
      </c>
      <c r="E160" s="5">
        <v>569.66897613548883</v>
      </c>
      <c r="F160" s="3" t="s">
        <v>10</v>
      </c>
      <c r="G160" s="3" t="s">
        <v>11</v>
      </c>
      <c r="H160" t="s">
        <v>38</v>
      </c>
      <c r="I160" t="s">
        <v>13</v>
      </c>
    </row>
    <row r="161" spans="1:9" x14ac:dyDescent="0.25">
      <c r="A161" s="3">
        <v>10611</v>
      </c>
      <c r="B161" s="4">
        <v>44904</v>
      </c>
      <c r="C161" t="s">
        <v>25</v>
      </c>
      <c r="D161" s="3">
        <v>9.9499999999999993</v>
      </c>
      <c r="E161" s="5">
        <v>201.00502512562818</v>
      </c>
      <c r="F161" s="3" t="s">
        <v>10</v>
      </c>
      <c r="G161" s="3" t="s">
        <v>11</v>
      </c>
      <c r="H161" t="s">
        <v>38</v>
      </c>
      <c r="I161" t="s">
        <v>13</v>
      </c>
    </row>
    <row r="162" spans="1:9" x14ac:dyDescent="0.25">
      <c r="A162" s="3">
        <v>10612</v>
      </c>
      <c r="B162" s="4">
        <v>44904</v>
      </c>
      <c r="C162" t="s">
        <v>9</v>
      </c>
      <c r="D162" s="3">
        <v>3.49</v>
      </c>
      <c r="E162" s="5">
        <v>630.3724928366762</v>
      </c>
      <c r="F162" s="3" t="s">
        <v>10</v>
      </c>
      <c r="G162" s="3" t="s">
        <v>11</v>
      </c>
      <c r="H162" t="s">
        <v>38</v>
      </c>
      <c r="I162" t="s">
        <v>13</v>
      </c>
    </row>
    <row r="163" spans="1:9" x14ac:dyDescent="0.25">
      <c r="A163" s="3">
        <v>10613</v>
      </c>
      <c r="B163" s="4">
        <v>44904</v>
      </c>
      <c r="C163" t="s">
        <v>14</v>
      </c>
      <c r="D163" s="3">
        <v>2.95</v>
      </c>
      <c r="E163" s="5">
        <v>677.96610169491521</v>
      </c>
      <c r="F163" s="3" t="s">
        <v>10</v>
      </c>
      <c r="G163" s="3" t="s">
        <v>11</v>
      </c>
      <c r="H163" t="s">
        <v>38</v>
      </c>
      <c r="I163" t="s">
        <v>13</v>
      </c>
    </row>
    <row r="164" spans="1:9" x14ac:dyDescent="0.25">
      <c r="A164" s="3">
        <v>10614</v>
      </c>
      <c r="B164" s="4">
        <v>44904</v>
      </c>
      <c r="C164" t="s">
        <v>17</v>
      </c>
      <c r="D164" s="3">
        <v>4.99</v>
      </c>
      <c r="E164" s="5">
        <v>200.40080160320639</v>
      </c>
      <c r="F164" s="3" t="s">
        <v>10</v>
      </c>
      <c r="G164" s="3" t="s">
        <v>11</v>
      </c>
      <c r="H164" t="s">
        <v>38</v>
      </c>
      <c r="I164" t="s">
        <v>13</v>
      </c>
    </row>
    <row r="165" spans="1:9" x14ac:dyDescent="0.25">
      <c r="A165" s="3">
        <v>10615</v>
      </c>
      <c r="B165" s="4">
        <v>44905</v>
      </c>
      <c r="C165" t="s">
        <v>21</v>
      </c>
      <c r="D165" s="3">
        <v>12.99</v>
      </c>
      <c r="E165" s="5">
        <v>569.66897613548883</v>
      </c>
      <c r="F165" s="3" t="s">
        <v>10</v>
      </c>
      <c r="G165" s="3" t="s">
        <v>11</v>
      </c>
      <c r="H165" t="s">
        <v>38</v>
      </c>
      <c r="I165" t="s">
        <v>13</v>
      </c>
    </row>
    <row r="166" spans="1:9" x14ac:dyDescent="0.25">
      <c r="A166" s="3">
        <v>10616</v>
      </c>
      <c r="B166" s="4">
        <v>44905</v>
      </c>
      <c r="C166" t="s">
        <v>25</v>
      </c>
      <c r="D166" s="3">
        <v>9.9499999999999993</v>
      </c>
      <c r="E166" s="5">
        <v>201.00502512562818</v>
      </c>
      <c r="F166" s="3" t="s">
        <v>10</v>
      </c>
      <c r="G166" s="3" t="s">
        <v>11</v>
      </c>
      <c r="H166" t="s">
        <v>38</v>
      </c>
      <c r="I166" t="s">
        <v>13</v>
      </c>
    </row>
    <row r="167" spans="1:9" x14ac:dyDescent="0.25">
      <c r="A167" s="3">
        <v>10617</v>
      </c>
      <c r="B167" s="4">
        <v>44905</v>
      </c>
      <c r="C167" t="s">
        <v>9</v>
      </c>
      <c r="D167" s="3">
        <v>3.49</v>
      </c>
      <c r="E167" s="5">
        <v>630.3724928366762</v>
      </c>
      <c r="F167" s="3" t="s">
        <v>10</v>
      </c>
      <c r="G167" s="3" t="s">
        <v>11</v>
      </c>
      <c r="H167" t="s">
        <v>38</v>
      </c>
      <c r="I167" t="s">
        <v>13</v>
      </c>
    </row>
    <row r="168" spans="1:9" x14ac:dyDescent="0.25">
      <c r="A168" s="3">
        <v>10618</v>
      </c>
      <c r="B168" s="4">
        <v>44905</v>
      </c>
      <c r="C168" t="s">
        <v>14</v>
      </c>
      <c r="D168" s="3">
        <v>2.95</v>
      </c>
      <c r="E168" s="5">
        <v>677.96610169491521</v>
      </c>
      <c r="F168" s="3" t="s">
        <v>10</v>
      </c>
      <c r="G168" s="3" t="s">
        <v>11</v>
      </c>
      <c r="H168" t="s">
        <v>38</v>
      </c>
      <c r="I168" t="s">
        <v>13</v>
      </c>
    </row>
    <row r="169" spans="1:9" x14ac:dyDescent="0.25">
      <c r="A169" s="3">
        <v>10619</v>
      </c>
      <c r="B169" s="4">
        <v>44905</v>
      </c>
      <c r="C169" t="s">
        <v>17</v>
      </c>
      <c r="D169" s="3">
        <v>4.99</v>
      </c>
      <c r="E169" s="5">
        <v>200.40080160320639</v>
      </c>
      <c r="F169" s="3" t="s">
        <v>10</v>
      </c>
      <c r="G169" s="3" t="s">
        <v>11</v>
      </c>
      <c r="H169" t="s">
        <v>38</v>
      </c>
      <c r="I169" t="s">
        <v>13</v>
      </c>
    </row>
    <row r="170" spans="1:9" x14ac:dyDescent="0.25">
      <c r="A170" s="3">
        <v>10620</v>
      </c>
      <c r="B170" s="4">
        <v>44906</v>
      </c>
      <c r="C170" t="s">
        <v>21</v>
      </c>
      <c r="D170" s="3">
        <v>12.99</v>
      </c>
      <c r="E170" s="5">
        <v>585.06543494996151</v>
      </c>
      <c r="F170" s="3" t="s">
        <v>10</v>
      </c>
      <c r="G170" s="3" t="s">
        <v>11</v>
      </c>
      <c r="H170" t="s">
        <v>38</v>
      </c>
      <c r="I170" t="s">
        <v>13</v>
      </c>
    </row>
    <row r="171" spans="1:9" x14ac:dyDescent="0.25">
      <c r="A171" s="3">
        <v>10621</v>
      </c>
      <c r="B171" s="4">
        <v>44906</v>
      </c>
      <c r="C171" t="s">
        <v>25</v>
      </c>
      <c r="D171" s="3">
        <v>9.9499999999999993</v>
      </c>
      <c r="E171" s="5">
        <v>201.00502512562818</v>
      </c>
      <c r="F171" s="3" t="s">
        <v>10</v>
      </c>
      <c r="G171" s="3" t="s">
        <v>11</v>
      </c>
      <c r="H171" t="s">
        <v>38</v>
      </c>
      <c r="I171" t="s">
        <v>13</v>
      </c>
    </row>
    <row r="172" spans="1:9" x14ac:dyDescent="0.25">
      <c r="A172" s="3">
        <v>10622</v>
      </c>
      <c r="B172" s="4">
        <v>44906</v>
      </c>
      <c r="C172" t="s">
        <v>9</v>
      </c>
      <c r="D172" s="3">
        <v>3.49</v>
      </c>
      <c r="E172" s="5">
        <v>630.3724928366762</v>
      </c>
      <c r="F172" s="3" t="s">
        <v>10</v>
      </c>
      <c r="G172" s="3" t="s">
        <v>11</v>
      </c>
      <c r="H172" t="s">
        <v>38</v>
      </c>
      <c r="I172" t="s">
        <v>13</v>
      </c>
    </row>
    <row r="173" spans="1:9" x14ac:dyDescent="0.25">
      <c r="A173" s="3">
        <v>10623</v>
      </c>
      <c r="B173" s="4">
        <v>44906</v>
      </c>
      <c r="C173" t="s">
        <v>14</v>
      </c>
      <c r="D173" s="3">
        <v>2.95</v>
      </c>
      <c r="E173" s="5">
        <v>745.7627118644067</v>
      </c>
      <c r="F173" s="3" t="s">
        <v>10</v>
      </c>
      <c r="G173" s="3" t="s">
        <v>11</v>
      </c>
      <c r="H173" t="s">
        <v>38</v>
      </c>
      <c r="I173" t="s">
        <v>13</v>
      </c>
    </row>
    <row r="174" spans="1:9" x14ac:dyDescent="0.25">
      <c r="A174" s="3">
        <v>10624</v>
      </c>
      <c r="B174" s="4">
        <v>44906</v>
      </c>
      <c r="C174" t="s">
        <v>17</v>
      </c>
      <c r="D174" s="3">
        <v>4.99</v>
      </c>
      <c r="E174" s="5">
        <v>200.40080160320639</v>
      </c>
      <c r="F174" s="3" t="s">
        <v>10</v>
      </c>
      <c r="G174" s="3" t="s">
        <v>11</v>
      </c>
      <c r="H174" t="s">
        <v>38</v>
      </c>
      <c r="I174" t="s">
        <v>13</v>
      </c>
    </row>
    <row r="175" spans="1:9" x14ac:dyDescent="0.25">
      <c r="A175" s="3">
        <v>10625</v>
      </c>
      <c r="B175" s="4">
        <v>44907</v>
      </c>
      <c r="C175" t="s">
        <v>21</v>
      </c>
      <c r="D175" s="3">
        <v>12.99</v>
      </c>
      <c r="E175" s="5">
        <v>569.66897613548883</v>
      </c>
      <c r="F175" s="3" t="s">
        <v>10</v>
      </c>
      <c r="G175" s="3" t="s">
        <v>11</v>
      </c>
      <c r="H175" t="s">
        <v>38</v>
      </c>
      <c r="I175" t="s">
        <v>13</v>
      </c>
    </row>
    <row r="176" spans="1:9" x14ac:dyDescent="0.25">
      <c r="A176" s="3">
        <v>10626</v>
      </c>
      <c r="B176" s="4">
        <v>44907</v>
      </c>
      <c r="C176" t="s">
        <v>25</v>
      </c>
      <c r="D176" s="3">
        <v>9.9499999999999993</v>
      </c>
      <c r="E176" s="5">
        <v>201.00502512562818</v>
      </c>
      <c r="F176" s="3" t="s">
        <v>10</v>
      </c>
      <c r="G176" s="3" t="s">
        <v>11</v>
      </c>
      <c r="H176" t="s">
        <v>38</v>
      </c>
      <c r="I176" t="s">
        <v>13</v>
      </c>
    </row>
    <row r="177" spans="1:9" x14ac:dyDescent="0.25">
      <c r="A177" s="3">
        <v>10627</v>
      </c>
      <c r="B177" s="4">
        <v>44907</v>
      </c>
      <c r="C177" t="s">
        <v>9</v>
      </c>
      <c r="D177" s="3">
        <v>3.49</v>
      </c>
      <c r="E177" s="5">
        <v>630.3724928366762</v>
      </c>
      <c r="F177" s="3" t="s">
        <v>10</v>
      </c>
      <c r="G177" s="3" t="s">
        <v>11</v>
      </c>
      <c r="H177" t="s">
        <v>38</v>
      </c>
      <c r="I177" t="s">
        <v>13</v>
      </c>
    </row>
    <row r="178" spans="1:9" ht="15.75" x14ac:dyDescent="0.25">
      <c r="A178" s="3">
        <v>10628</v>
      </c>
      <c r="B178" s="4">
        <v>44907</v>
      </c>
      <c r="C178" t="s">
        <v>14</v>
      </c>
      <c r="D178" s="3">
        <v>2.95</v>
      </c>
      <c r="E178" s="5">
        <v>677.96610169491521</v>
      </c>
      <c r="F178" s="3" t="s">
        <v>10</v>
      </c>
      <c r="G178" s="3" t="s">
        <v>11</v>
      </c>
      <c r="H178" s="6" t="s">
        <v>35</v>
      </c>
      <c r="I178" t="s">
        <v>20</v>
      </c>
    </row>
    <row r="179" spans="1:9" ht="15.75" x14ac:dyDescent="0.25">
      <c r="A179" s="3">
        <v>10629</v>
      </c>
      <c r="B179" s="4">
        <v>44907</v>
      </c>
      <c r="C179" t="s">
        <v>17</v>
      </c>
      <c r="D179" s="3">
        <v>4.99</v>
      </c>
      <c r="E179" s="5">
        <v>200.40080160320639</v>
      </c>
      <c r="F179" s="3" t="s">
        <v>10</v>
      </c>
      <c r="G179" s="3" t="s">
        <v>11</v>
      </c>
      <c r="H179" s="6" t="s">
        <v>35</v>
      </c>
      <c r="I179" t="s">
        <v>20</v>
      </c>
    </row>
    <row r="180" spans="1:9" ht="15.75" x14ac:dyDescent="0.25">
      <c r="A180" s="3">
        <v>10630</v>
      </c>
      <c r="B180" s="4">
        <v>44908</v>
      </c>
      <c r="C180" t="s">
        <v>21</v>
      </c>
      <c r="D180" s="3">
        <v>12.99</v>
      </c>
      <c r="E180" s="5">
        <v>569.66897613548883</v>
      </c>
      <c r="F180" s="3" t="s">
        <v>10</v>
      </c>
      <c r="G180" s="3" t="s">
        <v>37</v>
      </c>
      <c r="H180" s="6" t="s">
        <v>35</v>
      </c>
      <c r="I180" t="s">
        <v>20</v>
      </c>
    </row>
    <row r="181" spans="1:9" ht="15.75" x14ac:dyDescent="0.25">
      <c r="A181" s="3">
        <v>10631</v>
      </c>
      <c r="B181" s="4">
        <v>44908</v>
      </c>
      <c r="C181" t="s">
        <v>25</v>
      </c>
      <c r="D181" s="3">
        <v>9.9499999999999993</v>
      </c>
      <c r="E181" s="5">
        <v>201.00502512562818</v>
      </c>
      <c r="F181" s="3" t="s">
        <v>10</v>
      </c>
      <c r="G181" s="3" t="s">
        <v>11</v>
      </c>
      <c r="H181" s="6" t="s">
        <v>35</v>
      </c>
      <c r="I181" t="s">
        <v>20</v>
      </c>
    </row>
    <row r="182" spans="1:9" ht="15.75" x14ac:dyDescent="0.25">
      <c r="A182" s="3">
        <v>10632</v>
      </c>
      <c r="B182" s="4">
        <v>44908</v>
      </c>
      <c r="C182" t="s">
        <v>9</v>
      </c>
      <c r="D182" s="3">
        <v>3.49</v>
      </c>
      <c r="E182" s="5">
        <v>630.3724928366762</v>
      </c>
      <c r="F182" s="3" t="s">
        <v>10</v>
      </c>
      <c r="G182" s="3" t="s">
        <v>11</v>
      </c>
      <c r="H182" s="6" t="s">
        <v>35</v>
      </c>
      <c r="I182" t="s">
        <v>20</v>
      </c>
    </row>
    <row r="183" spans="1:9" ht="15.75" x14ac:dyDescent="0.25">
      <c r="A183" s="3">
        <v>10633</v>
      </c>
      <c r="B183" s="4">
        <v>44908</v>
      </c>
      <c r="C183" t="s">
        <v>14</v>
      </c>
      <c r="D183" s="3">
        <v>2.95</v>
      </c>
      <c r="E183" s="5">
        <v>677.96610169491521</v>
      </c>
      <c r="F183" s="3" t="s">
        <v>10</v>
      </c>
      <c r="G183" s="3" t="s">
        <v>11</v>
      </c>
      <c r="H183" s="6" t="s">
        <v>35</v>
      </c>
      <c r="I183" t="s">
        <v>20</v>
      </c>
    </row>
    <row r="184" spans="1:9" ht="15.75" x14ac:dyDescent="0.25">
      <c r="A184" s="3">
        <v>10634</v>
      </c>
      <c r="B184" s="4">
        <v>44908</v>
      </c>
      <c r="C184" t="s">
        <v>17</v>
      </c>
      <c r="D184" s="3">
        <v>4.99</v>
      </c>
      <c r="E184" s="5">
        <v>200.40080160320639</v>
      </c>
      <c r="F184" s="3" t="s">
        <v>10</v>
      </c>
      <c r="G184" s="3" t="s">
        <v>11</v>
      </c>
      <c r="H184" s="6" t="s">
        <v>35</v>
      </c>
      <c r="I184" t="s">
        <v>20</v>
      </c>
    </row>
    <row r="185" spans="1:9" ht="15.75" x14ac:dyDescent="0.25">
      <c r="A185" s="3">
        <v>10635</v>
      </c>
      <c r="B185" s="4">
        <v>44909</v>
      </c>
      <c r="C185" t="s">
        <v>21</v>
      </c>
      <c r="D185" s="3">
        <v>12.99</v>
      </c>
      <c r="E185" s="5">
        <v>554.27251732101615</v>
      </c>
      <c r="F185" s="3" t="s">
        <v>10</v>
      </c>
      <c r="G185" s="3" t="s">
        <v>11</v>
      </c>
      <c r="H185" s="6" t="s">
        <v>35</v>
      </c>
      <c r="I185" t="s">
        <v>20</v>
      </c>
    </row>
    <row r="186" spans="1:9" ht="15.75" x14ac:dyDescent="0.25">
      <c r="A186" s="3">
        <v>10636</v>
      </c>
      <c r="B186" s="4">
        <v>44909</v>
      </c>
      <c r="C186" t="s">
        <v>25</v>
      </c>
      <c r="D186" s="3">
        <v>9.9499999999999993</v>
      </c>
      <c r="E186" s="5">
        <v>221.10552763819098</v>
      </c>
      <c r="F186" s="3" t="s">
        <v>10</v>
      </c>
      <c r="G186" s="3" t="s">
        <v>11</v>
      </c>
      <c r="H186" s="6" t="s">
        <v>35</v>
      </c>
      <c r="I186" t="s">
        <v>20</v>
      </c>
    </row>
    <row r="187" spans="1:9" ht="15.75" x14ac:dyDescent="0.25">
      <c r="A187" s="3">
        <v>10637</v>
      </c>
      <c r="B187" s="4">
        <v>44909</v>
      </c>
      <c r="C187" t="s">
        <v>9</v>
      </c>
      <c r="D187" s="3">
        <v>3.49</v>
      </c>
      <c r="E187" s="5">
        <v>630.3724928366762</v>
      </c>
      <c r="F187" s="3" t="s">
        <v>10</v>
      </c>
      <c r="G187" s="3" t="s">
        <v>11</v>
      </c>
      <c r="H187" s="6" t="s">
        <v>35</v>
      </c>
      <c r="I187" t="s">
        <v>20</v>
      </c>
    </row>
    <row r="188" spans="1:9" ht="15.75" x14ac:dyDescent="0.25">
      <c r="A188" s="3">
        <v>10638</v>
      </c>
      <c r="B188" s="4">
        <v>44909</v>
      </c>
      <c r="C188" t="s">
        <v>14</v>
      </c>
      <c r="D188" s="3">
        <v>2.95</v>
      </c>
      <c r="E188" s="5">
        <v>677.96610169491521</v>
      </c>
      <c r="F188" s="3" t="s">
        <v>10</v>
      </c>
      <c r="G188" s="3" t="s">
        <v>11</v>
      </c>
      <c r="H188" s="6" t="s">
        <v>35</v>
      </c>
      <c r="I188" t="s">
        <v>20</v>
      </c>
    </row>
    <row r="189" spans="1:9" ht="15.75" x14ac:dyDescent="0.25">
      <c r="A189" s="3">
        <v>10639</v>
      </c>
      <c r="B189" s="4">
        <v>44909</v>
      </c>
      <c r="C189" t="s">
        <v>17</v>
      </c>
      <c r="D189" s="3">
        <v>4.99</v>
      </c>
      <c r="E189" s="5">
        <v>200.40080160320639</v>
      </c>
      <c r="F189" s="3" t="s">
        <v>10</v>
      </c>
      <c r="G189" s="3" t="s">
        <v>11</v>
      </c>
      <c r="H189" s="6" t="s">
        <v>35</v>
      </c>
      <c r="I189" t="s">
        <v>20</v>
      </c>
    </row>
    <row r="190" spans="1:9" ht="15.75" x14ac:dyDescent="0.25">
      <c r="A190" s="3">
        <v>10640</v>
      </c>
      <c r="B190" s="4">
        <v>44910</v>
      </c>
      <c r="C190" t="s">
        <v>21</v>
      </c>
      <c r="D190" s="3">
        <v>12.99</v>
      </c>
      <c r="E190" s="5">
        <v>538.87605850654347</v>
      </c>
      <c r="F190" s="3" t="s">
        <v>10</v>
      </c>
      <c r="G190" s="3" t="s">
        <v>11</v>
      </c>
      <c r="H190" s="6" t="s">
        <v>35</v>
      </c>
      <c r="I190" t="s">
        <v>20</v>
      </c>
    </row>
    <row r="191" spans="1:9" ht="15.75" x14ac:dyDescent="0.25">
      <c r="A191" s="3">
        <v>10641</v>
      </c>
      <c r="B191" s="4">
        <v>44910</v>
      </c>
      <c r="C191" t="s">
        <v>25</v>
      </c>
      <c r="D191" s="3">
        <v>9.9499999999999993</v>
      </c>
      <c r="E191" s="5">
        <v>221.10552763819098</v>
      </c>
      <c r="F191" s="3" t="s">
        <v>10</v>
      </c>
      <c r="G191" s="3" t="s">
        <v>11</v>
      </c>
      <c r="H191" s="6" t="s">
        <v>35</v>
      </c>
      <c r="I191" t="s">
        <v>20</v>
      </c>
    </row>
    <row r="192" spans="1:9" ht="15.75" x14ac:dyDescent="0.25">
      <c r="A192" s="3">
        <v>10642</v>
      </c>
      <c r="B192" s="4">
        <v>44910</v>
      </c>
      <c r="C192" t="s">
        <v>9</v>
      </c>
      <c r="D192" s="3">
        <v>3.49</v>
      </c>
      <c r="E192" s="5">
        <v>630.3724928366762</v>
      </c>
      <c r="F192" s="3" t="s">
        <v>10</v>
      </c>
      <c r="G192" s="3" t="s">
        <v>37</v>
      </c>
      <c r="H192" s="6" t="s">
        <v>35</v>
      </c>
      <c r="I192" t="s">
        <v>20</v>
      </c>
    </row>
    <row r="193" spans="1:9" ht="15.75" x14ac:dyDescent="0.25">
      <c r="A193" s="3">
        <v>10643</v>
      </c>
      <c r="B193" s="4">
        <v>44910</v>
      </c>
      <c r="C193" t="s">
        <v>14</v>
      </c>
      <c r="D193" s="3">
        <v>2.95</v>
      </c>
      <c r="E193" s="5">
        <v>677.96610169491521</v>
      </c>
      <c r="F193" s="3" t="s">
        <v>10</v>
      </c>
      <c r="G193" s="3" t="s">
        <v>37</v>
      </c>
      <c r="H193" s="6" t="s">
        <v>35</v>
      </c>
      <c r="I193" t="s">
        <v>20</v>
      </c>
    </row>
    <row r="194" spans="1:9" ht="15.75" x14ac:dyDescent="0.25">
      <c r="A194" s="3">
        <v>10644</v>
      </c>
      <c r="B194" s="4">
        <v>44910</v>
      </c>
      <c r="C194" t="s">
        <v>17</v>
      </c>
      <c r="D194" s="3">
        <v>4.99</v>
      </c>
      <c r="E194" s="5">
        <v>200.40080160320639</v>
      </c>
      <c r="F194" s="3" t="s">
        <v>10</v>
      </c>
      <c r="G194" s="3" t="s">
        <v>37</v>
      </c>
      <c r="H194" s="6" t="s">
        <v>35</v>
      </c>
      <c r="I194" t="s">
        <v>20</v>
      </c>
    </row>
    <row r="195" spans="1:9" ht="15.75" x14ac:dyDescent="0.25">
      <c r="A195" s="3">
        <v>10645</v>
      </c>
      <c r="B195" s="4">
        <v>44911</v>
      </c>
      <c r="C195" t="s">
        <v>21</v>
      </c>
      <c r="D195" s="3">
        <v>12.99</v>
      </c>
      <c r="E195" s="5">
        <v>569.66897613548883</v>
      </c>
      <c r="F195" s="3" t="s">
        <v>10</v>
      </c>
      <c r="G195" s="3" t="s">
        <v>37</v>
      </c>
      <c r="H195" s="6" t="s">
        <v>35</v>
      </c>
      <c r="I195" t="s">
        <v>20</v>
      </c>
    </row>
    <row r="196" spans="1:9" ht="15.75" x14ac:dyDescent="0.25">
      <c r="A196" s="3">
        <v>10646</v>
      </c>
      <c r="B196" s="4">
        <v>44911</v>
      </c>
      <c r="C196" t="s">
        <v>25</v>
      </c>
      <c r="D196" s="3">
        <v>9.9499999999999993</v>
      </c>
      <c r="E196" s="5">
        <v>221.10552763819098</v>
      </c>
      <c r="F196" s="3" t="s">
        <v>10</v>
      </c>
      <c r="G196" s="3" t="s">
        <v>37</v>
      </c>
      <c r="H196" s="6" t="s">
        <v>35</v>
      </c>
      <c r="I196" t="s">
        <v>20</v>
      </c>
    </row>
    <row r="197" spans="1:9" ht="15.75" x14ac:dyDescent="0.25">
      <c r="A197" s="3">
        <v>10647</v>
      </c>
      <c r="B197" s="4">
        <v>44911</v>
      </c>
      <c r="C197" t="s">
        <v>9</v>
      </c>
      <c r="D197" s="3">
        <v>3.49</v>
      </c>
      <c r="E197" s="5">
        <v>630.3724928366762</v>
      </c>
      <c r="F197" s="3" t="s">
        <v>10</v>
      </c>
      <c r="G197" s="3" t="s">
        <v>11</v>
      </c>
      <c r="H197" s="6" t="s">
        <v>35</v>
      </c>
      <c r="I197" t="s">
        <v>20</v>
      </c>
    </row>
    <row r="198" spans="1:9" ht="15.75" x14ac:dyDescent="0.25">
      <c r="A198" s="3">
        <v>10648</v>
      </c>
      <c r="B198" s="4">
        <v>44911</v>
      </c>
      <c r="C198" t="s">
        <v>14</v>
      </c>
      <c r="D198" s="3">
        <v>2.95</v>
      </c>
      <c r="E198" s="5">
        <v>745.7627118644067</v>
      </c>
      <c r="F198" s="3" t="s">
        <v>10</v>
      </c>
      <c r="G198" s="3" t="s">
        <v>11</v>
      </c>
      <c r="H198" s="6" t="s">
        <v>35</v>
      </c>
      <c r="I198" t="s">
        <v>20</v>
      </c>
    </row>
    <row r="199" spans="1:9" ht="15.75" x14ac:dyDescent="0.25">
      <c r="A199" s="3">
        <v>10649</v>
      </c>
      <c r="B199" s="4">
        <v>44911</v>
      </c>
      <c r="C199" t="s">
        <v>17</v>
      </c>
      <c r="D199" s="3">
        <v>4.99</v>
      </c>
      <c r="E199" s="5">
        <v>200.40080160320639</v>
      </c>
      <c r="F199" s="3" t="s">
        <v>10</v>
      </c>
      <c r="G199" s="3" t="s">
        <v>11</v>
      </c>
      <c r="H199" s="6" t="s">
        <v>35</v>
      </c>
      <c r="I199" t="s">
        <v>20</v>
      </c>
    </row>
    <row r="200" spans="1:9" ht="15.75" x14ac:dyDescent="0.25">
      <c r="A200" s="3">
        <v>10650</v>
      </c>
      <c r="B200" s="4">
        <v>44912</v>
      </c>
      <c r="C200" t="s">
        <v>21</v>
      </c>
      <c r="D200" s="3">
        <v>12.99</v>
      </c>
      <c r="E200" s="5">
        <v>585.06543494996151</v>
      </c>
      <c r="F200" s="3" t="s">
        <v>10</v>
      </c>
      <c r="G200" s="3" t="s">
        <v>11</v>
      </c>
      <c r="H200" s="6" t="s">
        <v>35</v>
      </c>
      <c r="I200" t="s">
        <v>20</v>
      </c>
    </row>
    <row r="201" spans="1:9" ht="15.75" x14ac:dyDescent="0.25">
      <c r="A201" s="3">
        <v>10651</v>
      </c>
      <c r="B201" s="4">
        <v>44912</v>
      </c>
      <c r="C201" t="s">
        <v>25</v>
      </c>
      <c r="D201" s="3">
        <v>9.9499999999999993</v>
      </c>
      <c r="E201" s="5">
        <v>221.10552763819098</v>
      </c>
      <c r="F201" s="3" t="s">
        <v>10</v>
      </c>
      <c r="G201" s="3" t="s">
        <v>11</v>
      </c>
      <c r="H201" s="6" t="s">
        <v>35</v>
      </c>
      <c r="I201" t="s">
        <v>20</v>
      </c>
    </row>
    <row r="202" spans="1:9" ht="15.75" x14ac:dyDescent="0.25">
      <c r="A202" s="3">
        <v>10652</v>
      </c>
      <c r="B202" s="4">
        <v>44912</v>
      </c>
      <c r="C202" t="s">
        <v>9</v>
      </c>
      <c r="D202" s="3">
        <v>3.49</v>
      </c>
      <c r="E202" s="5">
        <v>687.67908309455584</v>
      </c>
      <c r="F202" s="3" t="s">
        <v>10</v>
      </c>
      <c r="G202" s="3" t="s">
        <v>11</v>
      </c>
      <c r="H202" s="6" t="s">
        <v>35</v>
      </c>
      <c r="I202" t="s">
        <v>20</v>
      </c>
    </row>
    <row r="203" spans="1:9" ht="15.75" x14ac:dyDescent="0.25">
      <c r="A203" s="3">
        <v>10653</v>
      </c>
      <c r="B203" s="4">
        <v>44912</v>
      </c>
      <c r="C203" t="s">
        <v>14</v>
      </c>
      <c r="D203" s="3">
        <v>2.95</v>
      </c>
      <c r="E203" s="5">
        <v>745.7627118644067</v>
      </c>
      <c r="F203" s="3" t="s">
        <v>10</v>
      </c>
      <c r="G203" s="3" t="s">
        <v>11</v>
      </c>
      <c r="H203" s="6" t="s">
        <v>35</v>
      </c>
      <c r="I203" t="s">
        <v>20</v>
      </c>
    </row>
    <row r="204" spans="1:9" ht="15.75" x14ac:dyDescent="0.25">
      <c r="A204" s="3">
        <v>10654</v>
      </c>
      <c r="B204" s="4">
        <v>44912</v>
      </c>
      <c r="C204" t="s">
        <v>17</v>
      </c>
      <c r="D204" s="3">
        <v>4.99</v>
      </c>
      <c r="E204" s="5">
        <v>200.40080160320639</v>
      </c>
      <c r="F204" s="3" t="s">
        <v>10</v>
      </c>
      <c r="G204" s="3" t="s">
        <v>11</v>
      </c>
      <c r="H204" s="6" t="s">
        <v>35</v>
      </c>
      <c r="I204" t="s">
        <v>20</v>
      </c>
    </row>
    <row r="205" spans="1:9" ht="15.75" x14ac:dyDescent="0.25">
      <c r="A205" s="3">
        <v>10655</v>
      </c>
      <c r="B205" s="4">
        <v>44913</v>
      </c>
      <c r="C205" t="s">
        <v>21</v>
      </c>
      <c r="D205" s="3">
        <v>12.99</v>
      </c>
      <c r="E205" s="5">
        <v>600.46189376443419</v>
      </c>
      <c r="F205" s="3" t="s">
        <v>10</v>
      </c>
      <c r="G205" s="3" t="s">
        <v>11</v>
      </c>
      <c r="H205" s="6" t="s">
        <v>35</v>
      </c>
      <c r="I205" t="s">
        <v>20</v>
      </c>
    </row>
    <row r="206" spans="1:9" ht="15.75" x14ac:dyDescent="0.25">
      <c r="A206" s="3">
        <v>10656</v>
      </c>
      <c r="B206" s="4">
        <v>44913</v>
      </c>
      <c r="C206" t="s">
        <v>25</v>
      </c>
      <c r="D206" s="3">
        <v>9.9499999999999993</v>
      </c>
      <c r="E206" s="5">
        <v>221.10552763819098</v>
      </c>
      <c r="F206" s="3" t="s">
        <v>10</v>
      </c>
      <c r="G206" s="3" t="s">
        <v>11</v>
      </c>
      <c r="H206" s="6" t="s">
        <v>35</v>
      </c>
      <c r="I206" t="s">
        <v>20</v>
      </c>
    </row>
    <row r="207" spans="1:9" ht="15.75" x14ac:dyDescent="0.25">
      <c r="A207" s="3">
        <v>10657</v>
      </c>
      <c r="B207" s="4">
        <v>44913</v>
      </c>
      <c r="C207" t="s">
        <v>9</v>
      </c>
      <c r="D207" s="3">
        <v>3.49</v>
      </c>
      <c r="E207" s="5">
        <v>687.67908309455584</v>
      </c>
      <c r="F207" s="3" t="s">
        <v>10</v>
      </c>
      <c r="G207" s="3" t="s">
        <v>11</v>
      </c>
      <c r="H207" s="6" t="s">
        <v>35</v>
      </c>
      <c r="I207" t="s">
        <v>20</v>
      </c>
    </row>
    <row r="208" spans="1:9" ht="15.75" x14ac:dyDescent="0.25">
      <c r="A208" s="3">
        <v>10658</v>
      </c>
      <c r="B208" s="4">
        <v>44913</v>
      </c>
      <c r="C208" t="s">
        <v>14</v>
      </c>
      <c r="D208" s="3">
        <v>2.95</v>
      </c>
      <c r="E208" s="5">
        <v>745.7627118644067</v>
      </c>
      <c r="F208" s="3" t="s">
        <v>10</v>
      </c>
      <c r="G208" s="3" t="s">
        <v>37</v>
      </c>
      <c r="H208" s="6" t="s">
        <v>35</v>
      </c>
      <c r="I208" t="s">
        <v>20</v>
      </c>
    </row>
    <row r="209" spans="1:9" ht="15.75" x14ac:dyDescent="0.25">
      <c r="A209" s="3">
        <v>10659</v>
      </c>
      <c r="B209" s="4">
        <v>44913</v>
      </c>
      <c r="C209" t="s">
        <v>17</v>
      </c>
      <c r="D209" s="3">
        <v>4.99</v>
      </c>
      <c r="E209" s="5">
        <v>200.40080160320639</v>
      </c>
      <c r="F209" s="3" t="s">
        <v>10</v>
      </c>
      <c r="G209" s="3" t="s">
        <v>37</v>
      </c>
      <c r="H209" s="6" t="s">
        <v>35</v>
      </c>
      <c r="I209" t="s">
        <v>20</v>
      </c>
    </row>
    <row r="210" spans="1:9" ht="15.75" x14ac:dyDescent="0.25">
      <c r="A210" s="3">
        <v>10660</v>
      </c>
      <c r="B210" s="4">
        <v>44914</v>
      </c>
      <c r="C210" t="s">
        <v>21</v>
      </c>
      <c r="D210" s="3">
        <v>12.99</v>
      </c>
      <c r="E210" s="5">
        <v>631.25481139337955</v>
      </c>
      <c r="F210" s="3" t="s">
        <v>18</v>
      </c>
      <c r="G210" s="3" t="s">
        <v>37</v>
      </c>
      <c r="H210" s="6" t="s">
        <v>35</v>
      </c>
      <c r="I210" t="s">
        <v>20</v>
      </c>
    </row>
    <row r="211" spans="1:9" ht="15.75" x14ac:dyDescent="0.25">
      <c r="A211" s="3">
        <v>10661</v>
      </c>
      <c r="B211" s="4">
        <v>44914</v>
      </c>
      <c r="C211" t="s">
        <v>25</v>
      </c>
      <c r="D211" s="3">
        <v>9.9499999999999993</v>
      </c>
      <c r="E211" s="5">
        <v>221.10552763819098</v>
      </c>
      <c r="F211" s="3" t="s">
        <v>18</v>
      </c>
      <c r="G211" s="3" t="s">
        <v>37</v>
      </c>
      <c r="H211" s="6" t="s">
        <v>35</v>
      </c>
      <c r="I211" t="s">
        <v>20</v>
      </c>
    </row>
    <row r="212" spans="1:9" ht="15.75" x14ac:dyDescent="0.25">
      <c r="A212" s="3">
        <v>10662</v>
      </c>
      <c r="B212" s="4">
        <v>44914</v>
      </c>
      <c r="C212" t="s">
        <v>9</v>
      </c>
      <c r="D212" s="3">
        <v>3.49</v>
      </c>
      <c r="E212" s="5">
        <v>630.3724928366762</v>
      </c>
      <c r="F212" s="3" t="s">
        <v>18</v>
      </c>
      <c r="G212" s="3" t="s">
        <v>37</v>
      </c>
      <c r="H212" s="6" t="s">
        <v>35</v>
      </c>
      <c r="I212" t="s">
        <v>20</v>
      </c>
    </row>
    <row r="213" spans="1:9" ht="15.75" x14ac:dyDescent="0.25">
      <c r="A213" s="3">
        <v>10663</v>
      </c>
      <c r="B213" s="4">
        <v>44914</v>
      </c>
      <c r="C213" t="s">
        <v>14</v>
      </c>
      <c r="D213" s="3">
        <v>2.95</v>
      </c>
      <c r="E213" s="5">
        <v>745.7627118644067</v>
      </c>
      <c r="F213" s="3" t="s">
        <v>18</v>
      </c>
      <c r="G213" s="3" t="s">
        <v>37</v>
      </c>
      <c r="H213" s="6" t="s">
        <v>35</v>
      </c>
      <c r="I213" t="s">
        <v>20</v>
      </c>
    </row>
    <row r="214" spans="1:9" ht="15.75" x14ac:dyDescent="0.25">
      <c r="A214" s="3">
        <v>10664</v>
      </c>
      <c r="B214" s="4">
        <v>44914</v>
      </c>
      <c r="C214" t="s">
        <v>17</v>
      </c>
      <c r="D214" s="3">
        <v>4.99</v>
      </c>
      <c r="E214" s="5">
        <v>200.40080160320639</v>
      </c>
      <c r="F214" s="3" t="s">
        <v>18</v>
      </c>
      <c r="G214" s="3" t="s">
        <v>37</v>
      </c>
      <c r="H214" s="6" t="s">
        <v>35</v>
      </c>
      <c r="I214" t="s">
        <v>20</v>
      </c>
    </row>
    <row r="215" spans="1:9" ht="15.75" x14ac:dyDescent="0.25">
      <c r="A215" s="3">
        <v>10665</v>
      </c>
      <c r="B215" s="4">
        <v>44915</v>
      </c>
      <c r="C215" t="s">
        <v>21</v>
      </c>
      <c r="D215" s="3">
        <v>12.99</v>
      </c>
      <c r="E215" s="5">
        <v>646.65127020785224</v>
      </c>
      <c r="F215" s="3" t="s">
        <v>18</v>
      </c>
      <c r="G215" s="3" t="s">
        <v>37</v>
      </c>
      <c r="H215" s="6" t="s">
        <v>35</v>
      </c>
      <c r="I215" t="s">
        <v>20</v>
      </c>
    </row>
    <row r="216" spans="1:9" ht="15.75" x14ac:dyDescent="0.25">
      <c r="A216" s="3">
        <v>10666</v>
      </c>
      <c r="B216" s="4">
        <v>44915</v>
      </c>
      <c r="C216" t="s">
        <v>25</v>
      </c>
      <c r="D216" s="3">
        <v>9.9499999999999993</v>
      </c>
      <c r="E216" s="5">
        <v>221.10552763819098</v>
      </c>
      <c r="F216" s="3" t="s">
        <v>18</v>
      </c>
      <c r="G216" s="3" t="s">
        <v>37</v>
      </c>
      <c r="H216" s="6" t="s">
        <v>35</v>
      </c>
      <c r="I216" t="s">
        <v>20</v>
      </c>
    </row>
    <row r="217" spans="1:9" ht="15.75" x14ac:dyDescent="0.25">
      <c r="A217" s="3">
        <v>10667</v>
      </c>
      <c r="B217" s="4">
        <v>44915</v>
      </c>
      <c r="C217" t="s">
        <v>9</v>
      </c>
      <c r="D217" s="3">
        <v>3.49</v>
      </c>
      <c r="E217" s="5">
        <v>630.3724928366762</v>
      </c>
      <c r="F217" s="3" t="s">
        <v>18</v>
      </c>
      <c r="G217" s="3" t="s">
        <v>37</v>
      </c>
      <c r="H217" s="6" t="s">
        <v>35</v>
      </c>
      <c r="I217" t="s">
        <v>20</v>
      </c>
    </row>
    <row r="218" spans="1:9" ht="15.75" x14ac:dyDescent="0.25">
      <c r="A218" s="3">
        <v>10668</v>
      </c>
      <c r="B218" s="4">
        <v>44915</v>
      </c>
      <c r="C218" t="s">
        <v>14</v>
      </c>
      <c r="D218" s="3">
        <v>2.95</v>
      </c>
      <c r="E218" s="5">
        <v>745.7627118644067</v>
      </c>
      <c r="F218" s="3" t="s">
        <v>18</v>
      </c>
      <c r="G218" s="3" t="s">
        <v>37</v>
      </c>
      <c r="H218" s="6" t="s">
        <v>35</v>
      </c>
      <c r="I218" t="s">
        <v>20</v>
      </c>
    </row>
    <row r="219" spans="1:9" ht="15.75" x14ac:dyDescent="0.25">
      <c r="A219" s="3">
        <v>10669</v>
      </c>
      <c r="B219" s="4">
        <v>44915</v>
      </c>
      <c r="C219" t="s">
        <v>17</v>
      </c>
      <c r="D219" s="3">
        <v>4.99</v>
      </c>
      <c r="E219" s="5">
        <v>200.40080160320639</v>
      </c>
      <c r="F219" s="3" t="s">
        <v>18</v>
      </c>
      <c r="G219" s="3" t="s">
        <v>37</v>
      </c>
      <c r="H219" s="6" t="s">
        <v>35</v>
      </c>
      <c r="I219" t="s">
        <v>20</v>
      </c>
    </row>
    <row r="220" spans="1:9" ht="15.75" x14ac:dyDescent="0.25">
      <c r="A220" s="3">
        <v>10670</v>
      </c>
      <c r="B220" s="4">
        <v>44916</v>
      </c>
      <c r="C220" t="s">
        <v>21</v>
      </c>
      <c r="D220" s="3">
        <v>12.99</v>
      </c>
      <c r="E220" s="5">
        <v>677.44418783679748</v>
      </c>
      <c r="F220" s="3" t="s">
        <v>18</v>
      </c>
      <c r="G220" s="3" t="s">
        <v>37</v>
      </c>
      <c r="H220" s="6" t="s">
        <v>35</v>
      </c>
      <c r="I220" t="s">
        <v>20</v>
      </c>
    </row>
    <row r="221" spans="1:9" ht="15.75" x14ac:dyDescent="0.25">
      <c r="A221" s="3">
        <v>10671</v>
      </c>
      <c r="B221" s="4">
        <v>44916</v>
      </c>
      <c r="C221" t="s">
        <v>25</v>
      </c>
      <c r="D221" s="3">
        <v>9.9499999999999993</v>
      </c>
      <c r="E221" s="5">
        <v>221.10552763819098</v>
      </c>
      <c r="F221" s="3" t="s">
        <v>18</v>
      </c>
      <c r="G221" s="3" t="s">
        <v>37</v>
      </c>
      <c r="H221" s="6" t="s">
        <v>35</v>
      </c>
      <c r="I221" t="s">
        <v>20</v>
      </c>
    </row>
    <row r="222" spans="1:9" ht="15.75" x14ac:dyDescent="0.25">
      <c r="A222" s="3">
        <v>10672</v>
      </c>
      <c r="B222" s="4">
        <v>44916</v>
      </c>
      <c r="C222" t="s">
        <v>9</v>
      </c>
      <c r="D222" s="3">
        <v>3.49</v>
      </c>
      <c r="E222" s="5">
        <v>630.3724928366762</v>
      </c>
      <c r="F222" s="3" t="s">
        <v>18</v>
      </c>
      <c r="G222" s="3" t="s">
        <v>37</v>
      </c>
      <c r="H222" s="6" t="s">
        <v>35</v>
      </c>
      <c r="I222" t="s">
        <v>20</v>
      </c>
    </row>
    <row r="223" spans="1:9" ht="15.75" x14ac:dyDescent="0.25">
      <c r="A223" s="3">
        <v>10673</v>
      </c>
      <c r="B223" s="4">
        <v>44916</v>
      </c>
      <c r="C223" t="s">
        <v>14</v>
      </c>
      <c r="D223" s="3">
        <v>2.95</v>
      </c>
      <c r="E223" s="5">
        <v>745.7627118644067</v>
      </c>
      <c r="F223" s="3" t="s">
        <v>18</v>
      </c>
      <c r="G223" s="3" t="s">
        <v>37</v>
      </c>
      <c r="H223" s="6" t="s">
        <v>35</v>
      </c>
      <c r="I223" t="s">
        <v>20</v>
      </c>
    </row>
    <row r="224" spans="1:9" ht="15.75" x14ac:dyDescent="0.25">
      <c r="A224" s="3">
        <v>10674</v>
      </c>
      <c r="B224" s="4">
        <v>44916</v>
      </c>
      <c r="C224" t="s">
        <v>17</v>
      </c>
      <c r="D224" s="3">
        <v>4.99</v>
      </c>
      <c r="E224" s="5">
        <v>200.40080160320639</v>
      </c>
      <c r="F224" s="3" t="s">
        <v>18</v>
      </c>
      <c r="G224" s="3" t="s">
        <v>37</v>
      </c>
      <c r="H224" s="6" t="s">
        <v>35</v>
      </c>
      <c r="I224" t="s">
        <v>20</v>
      </c>
    </row>
    <row r="225" spans="1:9" ht="15.75" x14ac:dyDescent="0.25">
      <c r="A225" s="3">
        <v>10675</v>
      </c>
      <c r="B225" s="4">
        <v>44917</v>
      </c>
      <c r="C225" t="s">
        <v>21</v>
      </c>
      <c r="D225" s="3">
        <v>12.99</v>
      </c>
      <c r="E225" s="5">
        <v>677.44418783679748</v>
      </c>
      <c r="F225" s="3" t="s">
        <v>18</v>
      </c>
      <c r="G225" s="3" t="s">
        <v>37</v>
      </c>
      <c r="H225" s="6" t="s">
        <v>35</v>
      </c>
      <c r="I225" t="s">
        <v>20</v>
      </c>
    </row>
    <row r="226" spans="1:9" ht="15.75" x14ac:dyDescent="0.25">
      <c r="A226" s="3">
        <v>10676</v>
      </c>
      <c r="B226" s="4">
        <v>44917</v>
      </c>
      <c r="C226" t="s">
        <v>25</v>
      </c>
      <c r="D226" s="3">
        <v>9.9499999999999993</v>
      </c>
      <c r="E226" s="5">
        <v>241.2060301507538</v>
      </c>
      <c r="F226" s="3" t="s">
        <v>18</v>
      </c>
      <c r="G226" s="3" t="s">
        <v>37</v>
      </c>
      <c r="H226" s="6" t="s">
        <v>35</v>
      </c>
      <c r="I226" t="s">
        <v>20</v>
      </c>
    </row>
    <row r="227" spans="1:9" ht="15.75" x14ac:dyDescent="0.25">
      <c r="A227" s="3">
        <v>10677</v>
      </c>
      <c r="B227" s="4">
        <v>44917</v>
      </c>
      <c r="C227" t="s">
        <v>9</v>
      </c>
      <c r="D227" s="3">
        <v>3.49</v>
      </c>
      <c r="E227" s="5">
        <v>630.3724928366762</v>
      </c>
      <c r="F227" s="3" t="s">
        <v>18</v>
      </c>
      <c r="G227" s="3" t="s">
        <v>37</v>
      </c>
      <c r="H227" s="6" t="s">
        <v>35</v>
      </c>
      <c r="I227" t="s">
        <v>20</v>
      </c>
    </row>
    <row r="228" spans="1:9" ht="15.75" x14ac:dyDescent="0.25">
      <c r="A228" s="3">
        <v>10678</v>
      </c>
      <c r="B228" s="4">
        <v>44917</v>
      </c>
      <c r="C228" t="s">
        <v>14</v>
      </c>
      <c r="D228" s="3">
        <v>2.95</v>
      </c>
      <c r="E228" s="5">
        <v>745.7627118644067</v>
      </c>
      <c r="F228" s="3" t="s">
        <v>18</v>
      </c>
      <c r="G228" s="3" t="s">
        <v>37</v>
      </c>
      <c r="H228" s="6" t="s">
        <v>35</v>
      </c>
      <c r="I228" t="s">
        <v>20</v>
      </c>
    </row>
    <row r="229" spans="1:9" ht="15.75" x14ac:dyDescent="0.25">
      <c r="A229" s="3">
        <v>10679</v>
      </c>
      <c r="B229" s="4">
        <v>44917</v>
      </c>
      <c r="C229" t="s">
        <v>17</v>
      </c>
      <c r="D229" s="3">
        <v>4.99</v>
      </c>
      <c r="E229" s="5">
        <v>200.40080160320639</v>
      </c>
      <c r="F229" s="3" t="s">
        <v>18</v>
      </c>
      <c r="G229" s="3" t="s">
        <v>37</v>
      </c>
      <c r="H229" s="6" t="s">
        <v>35</v>
      </c>
      <c r="I229" t="s">
        <v>20</v>
      </c>
    </row>
    <row r="230" spans="1:9" ht="15.75" x14ac:dyDescent="0.25">
      <c r="A230" s="3">
        <v>10680</v>
      </c>
      <c r="B230" s="4">
        <v>44918</v>
      </c>
      <c r="C230" t="s">
        <v>21</v>
      </c>
      <c r="D230" s="3">
        <v>12.99</v>
      </c>
      <c r="E230" s="5">
        <v>646.65127020785224</v>
      </c>
      <c r="F230" s="3" t="s">
        <v>18</v>
      </c>
      <c r="G230" s="3" t="s">
        <v>37</v>
      </c>
      <c r="H230" s="6" t="s">
        <v>35</v>
      </c>
      <c r="I230" t="s">
        <v>20</v>
      </c>
    </row>
    <row r="231" spans="1:9" ht="15.75" x14ac:dyDescent="0.25">
      <c r="A231" s="3">
        <v>10681</v>
      </c>
      <c r="B231" s="4">
        <v>44918</v>
      </c>
      <c r="C231" t="s">
        <v>25</v>
      </c>
      <c r="D231" s="3">
        <v>9.9499999999999993</v>
      </c>
      <c r="E231" s="5">
        <v>241.2060301507538</v>
      </c>
      <c r="F231" s="3" t="s">
        <v>18</v>
      </c>
      <c r="G231" s="3" t="s">
        <v>37</v>
      </c>
      <c r="H231" s="6" t="s">
        <v>35</v>
      </c>
      <c r="I231" t="s">
        <v>20</v>
      </c>
    </row>
    <row r="232" spans="1:9" ht="15.75" x14ac:dyDescent="0.25">
      <c r="A232" s="3">
        <v>10682</v>
      </c>
      <c r="B232" s="4">
        <v>44918</v>
      </c>
      <c r="C232" t="s">
        <v>9</v>
      </c>
      <c r="D232" s="3">
        <v>3.49</v>
      </c>
      <c r="E232" s="5">
        <v>630.3724928366762</v>
      </c>
      <c r="F232" s="3" t="s">
        <v>18</v>
      </c>
      <c r="G232" s="3" t="s">
        <v>37</v>
      </c>
      <c r="H232" s="6" t="s">
        <v>35</v>
      </c>
      <c r="I232" t="s">
        <v>20</v>
      </c>
    </row>
    <row r="233" spans="1:9" ht="15.75" x14ac:dyDescent="0.25">
      <c r="A233" s="3">
        <v>10683</v>
      </c>
      <c r="B233" s="4">
        <v>44918</v>
      </c>
      <c r="C233" t="s">
        <v>14</v>
      </c>
      <c r="D233" s="3">
        <v>2.95</v>
      </c>
      <c r="E233" s="5">
        <v>677.96610169491521</v>
      </c>
      <c r="F233" s="3" t="s">
        <v>18</v>
      </c>
      <c r="G233" s="3" t="s">
        <v>37</v>
      </c>
      <c r="H233" s="6" t="s">
        <v>35</v>
      </c>
      <c r="I233" t="s">
        <v>20</v>
      </c>
    </row>
    <row r="234" spans="1:9" ht="15.75" x14ac:dyDescent="0.25">
      <c r="A234" s="3">
        <v>10684</v>
      </c>
      <c r="B234" s="4">
        <v>44918</v>
      </c>
      <c r="C234" t="s">
        <v>17</v>
      </c>
      <c r="D234" s="3">
        <v>4.99</v>
      </c>
      <c r="E234" s="5">
        <v>200.40080160320639</v>
      </c>
      <c r="F234" s="3" t="s">
        <v>18</v>
      </c>
      <c r="G234" s="3" t="s">
        <v>37</v>
      </c>
      <c r="H234" s="6" t="s">
        <v>35</v>
      </c>
      <c r="I234" t="s">
        <v>20</v>
      </c>
    </row>
    <row r="235" spans="1:9" ht="15.75" x14ac:dyDescent="0.25">
      <c r="A235" s="3">
        <v>10685</v>
      </c>
      <c r="B235" s="4">
        <v>44919</v>
      </c>
      <c r="C235" t="s">
        <v>21</v>
      </c>
      <c r="D235" s="3">
        <v>12.99</v>
      </c>
      <c r="E235" s="5">
        <v>677.44418783679748</v>
      </c>
      <c r="F235" s="3" t="s">
        <v>18</v>
      </c>
      <c r="G235" s="3" t="s">
        <v>37</v>
      </c>
      <c r="H235" s="6" t="s">
        <v>35</v>
      </c>
      <c r="I235" t="s">
        <v>20</v>
      </c>
    </row>
    <row r="236" spans="1:9" ht="15.75" x14ac:dyDescent="0.25">
      <c r="A236" s="3">
        <v>10686</v>
      </c>
      <c r="B236" s="4">
        <v>44919</v>
      </c>
      <c r="C236" t="s">
        <v>25</v>
      </c>
      <c r="D236" s="3">
        <v>9.9499999999999993</v>
      </c>
      <c r="E236" s="5">
        <v>241.2060301507538</v>
      </c>
      <c r="F236" s="3" t="s">
        <v>18</v>
      </c>
      <c r="G236" s="3" t="s">
        <v>37</v>
      </c>
      <c r="H236" s="6" t="s">
        <v>35</v>
      </c>
      <c r="I236" t="s">
        <v>20</v>
      </c>
    </row>
    <row r="237" spans="1:9" x14ac:dyDescent="0.25">
      <c r="A237" s="3">
        <v>10687</v>
      </c>
      <c r="B237" s="4">
        <v>44919</v>
      </c>
      <c r="C237" t="s">
        <v>9</v>
      </c>
      <c r="D237" s="3">
        <v>3.49</v>
      </c>
      <c r="E237" s="5">
        <v>630.3724928366762</v>
      </c>
      <c r="F237" s="3" t="s">
        <v>18</v>
      </c>
      <c r="G237" s="3" t="s">
        <v>37</v>
      </c>
      <c r="H237" t="s">
        <v>23</v>
      </c>
      <c r="I237" t="s">
        <v>24</v>
      </c>
    </row>
    <row r="238" spans="1:9" x14ac:dyDescent="0.25">
      <c r="A238" s="3">
        <v>10688</v>
      </c>
      <c r="B238" s="4">
        <v>44919</v>
      </c>
      <c r="C238" t="s">
        <v>14</v>
      </c>
      <c r="D238" s="3">
        <v>2.95</v>
      </c>
      <c r="E238" s="5">
        <v>677.96610169491521</v>
      </c>
      <c r="F238" s="3" t="s">
        <v>18</v>
      </c>
      <c r="G238" s="3" t="s">
        <v>37</v>
      </c>
      <c r="H238" t="s">
        <v>23</v>
      </c>
      <c r="I238" t="s">
        <v>24</v>
      </c>
    </row>
    <row r="239" spans="1:9" x14ac:dyDescent="0.25">
      <c r="A239" s="3">
        <v>10689</v>
      </c>
      <c r="B239" s="4">
        <v>44919</v>
      </c>
      <c r="C239" t="s">
        <v>17</v>
      </c>
      <c r="D239" s="3">
        <v>4.99</v>
      </c>
      <c r="E239" s="5">
        <v>200.40080160320639</v>
      </c>
      <c r="F239" s="3" t="s">
        <v>18</v>
      </c>
      <c r="G239" s="3" t="s">
        <v>37</v>
      </c>
      <c r="H239" t="s">
        <v>23</v>
      </c>
      <c r="I239" t="s">
        <v>24</v>
      </c>
    </row>
    <row r="240" spans="1:9" x14ac:dyDescent="0.25">
      <c r="A240" s="3">
        <v>10690</v>
      </c>
      <c r="B240" s="4">
        <v>44920</v>
      </c>
      <c r="C240" t="s">
        <v>21</v>
      </c>
      <c r="D240" s="3">
        <v>12.99</v>
      </c>
      <c r="E240" s="5">
        <v>677.44418783679748</v>
      </c>
      <c r="F240" s="3" t="s">
        <v>18</v>
      </c>
      <c r="G240" s="3" t="s">
        <v>37</v>
      </c>
      <c r="H240" t="s">
        <v>23</v>
      </c>
      <c r="I240" t="s">
        <v>24</v>
      </c>
    </row>
    <row r="241" spans="1:9" x14ac:dyDescent="0.25">
      <c r="A241" s="3">
        <v>10691</v>
      </c>
      <c r="B241" s="4">
        <v>44920</v>
      </c>
      <c r="C241" t="s">
        <v>25</v>
      </c>
      <c r="D241" s="3">
        <v>9.9499999999999993</v>
      </c>
      <c r="E241" s="5">
        <v>261.3065326633166</v>
      </c>
      <c r="F241" s="3" t="s">
        <v>18</v>
      </c>
      <c r="G241" s="3" t="s">
        <v>37</v>
      </c>
      <c r="H241" t="s">
        <v>23</v>
      </c>
      <c r="I241" t="s">
        <v>24</v>
      </c>
    </row>
    <row r="242" spans="1:9" x14ac:dyDescent="0.25">
      <c r="A242" s="3">
        <v>10692</v>
      </c>
      <c r="B242" s="4">
        <v>44920</v>
      </c>
      <c r="C242" t="s">
        <v>9</v>
      </c>
      <c r="D242" s="3">
        <v>3.49</v>
      </c>
      <c r="E242" s="5">
        <v>630.3724928366762</v>
      </c>
      <c r="F242" s="3" t="s">
        <v>18</v>
      </c>
      <c r="G242" s="3" t="s">
        <v>37</v>
      </c>
      <c r="H242" t="s">
        <v>23</v>
      </c>
      <c r="I242" t="s">
        <v>24</v>
      </c>
    </row>
    <row r="243" spans="1:9" x14ac:dyDescent="0.25">
      <c r="A243" s="3">
        <v>10693</v>
      </c>
      <c r="B243" s="4">
        <v>44920</v>
      </c>
      <c r="C243" t="s">
        <v>14</v>
      </c>
      <c r="D243" s="3">
        <v>2.95</v>
      </c>
      <c r="E243" s="5">
        <v>677.96610169491521</v>
      </c>
      <c r="F243" s="3" t="s">
        <v>18</v>
      </c>
      <c r="G243" s="3" t="s">
        <v>37</v>
      </c>
      <c r="H243" t="s">
        <v>23</v>
      </c>
      <c r="I243" t="s">
        <v>24</v>
      </c>
    </row>
    <row r="244" spans="1:9" x14ac:dyDescent="0.25">
      <c r="A244" s="3">
        <v>10694</v>
      </c>
      <c r="B244" s="4">
        <v>44920</v>
      </c>
      <c r="C244" t="s">
        <v>17</v>
      </c>
      <c r="D244" s="3">
        <v>4.99</v>
      </c>
      <c r="E244" s="5">
        <v>200.40080160320639</v>
      </c>
      <c r="F244" s="3" t="s">
        <v>18</v>
      </c>
      <c r="G244" s="3" t="s">
        <v>37</v>
      </c>
      <c r="H244" t="s">
        <v>23</v>
      </c>
      <c r="I244" t="s">
        <v>24</v>
      </c>
    </row>
    <row r="245" spans="1:9" x14ac:dyDescent="0.25">
      <c r="A245" s="3">
        <v>10695</v>
      </c>
      <c r="B245" s="4">
        <v>44921</v>
      </c>
      <c r="C245" t="s">
        <v>21</v>
      </c>
      <c r="D245" s="3">
        <v>12.99</v>
      </c>
      <c r="E245" s="5">
        <v>692.84064665127016</v>
      </c>
      <c r="F245" s="3" t="s">
        <v>18</v>
      </c>
      <c r="G245" s="3" t="s">
        <v>37</v>
      </c>
      <c r="H245" t="s">
        <v>23</v>
      </c>
      <c r="I245" t="s">
        <v>24</v>
      </c>
    </row>
    <row r="246" spans="1:9" x14ac:dyDescent="0.25">
      <c r="A246" s="3">
        <v>10696</v>
      </c>
      <c r="B246" s="4">
        <v>44921</v>
      </c>
      <c r="C246" t="s">
        <v>25</v>
      </c>
      <c r="D246" s="3">
        <v>9.9499999999999993</v>
      </c>
      <c r="E246" s="5">
        <v>281.4070351758794</v>
      </c>
      <c r="F246" s="3" t="s">
        <v>18</v>
      </c>
      <c r="G246" s="3" t="s">
        <v>37</v>
      </c>
      <c r="H246" t="s">
        <v>23</v>
      </c>
      <c r="I246" t="s">
        <v>24</v>
      </c>
    </row>
    <row r="247" spans="1:9" x14ac:dyDescent="0.25">
      <c r="A247" s="3">
        <v>10697</v>
      </c>
      <c r="B247" s="4">
        <v>44921</v>
      </c>
      <c r="C247" t="s">
        <v>9</v>
      </c>
      <c r="D247" s="3">
        <v>3.49</v>
      </c>
      <c r="E247" s="5">
        <v>630.3724928366762</v>
      </c>
      <c r="F247" s="3" t="s">
        <v>18</v>
      </c>
      <c r="G247" s="3" t="s">
        <v>37</v>
      </c>
      <c r="H247" t="s">
        <v>23</v>
      </c>
      <c r="I247" t="s">
        <v>24</v>
      </c>
    </row>
    <row r="248" spans="1:9" x14ac:dyDescent="0.25">
      <c r="A248" s="3">
        <v>10698</v>
      </c>
      <c r="B248" s="4">
        <v>44921</v>
      </c>
      <c r="C248" t="s">
        <v>14</v>
      </c>
      <c r="D248" s="3">
        <v>2.95</v>
      </c>
      <c r="E248" s="5">
        <v>677.96610169491521</v>
      </c>
      <c r="F248" s="3" t="s">
        <v>18</v>
      </c>
      <c r="G248" s="3" t="s">
        <v>37</v>
      </c>
      <c r="H248" t="s">
        <v>23</v>
      </c>
      <c r="I248" t="s">
        <v>24</v>
      </c>
    </row>
    <row r="249" spans="1:9" x14ac:dyDescent="0.25">
      <c r="A249" s="3">
        <v>10699</v>
      </c>
      <c r="B249" s="4">
        <v>44921</v>
      </c>
      <c r="C249" t="s">
        <v>17</v>
      </c>
      <c r="D249" s="3">
        <v>4.99</v>
      </c>
      <c r="E249" s="5">
        <v>200.40080160320639</v>
      </c>
      <c r="F249" s="3" t="s">
        <v>18</v>
      </c>
      <c r="G249" s="3" t="s">
        <v>37</v>
      </c>
      <c r="H249" t="s">
        <v>23</v>
      </c>
      <c r="I249" t="s">
        <v>24</v>
      </c>
    </row>
    <row r="250" spans="1:9" x14ac:dyDescent="0.25">
      <c r="A250" s="3">
        <v>10700</v>
      </c>
      <c r="B250" s="4">
        <v>44922</v>
      </c>
      <c r="C250" t="s">
        <v>21</v>
      </c>
      <c r="D250" s="3">
        <v>12.99</v>
      </c>
      <c r="E250" s="5">
        <v>692.84064665127016</v>
      </c>
      <c r="F250" s="3" t="s">
        <v>18</v>
      </c>
      <c r="G250" s="3" t="s">
        <v>37</v>
      </c>
      <c r="H250" t="s">
        <v>23</v>
      </c>
      <c r="I250" t="s">
        <v>24</v>
      </c>
    </row>
    <row r="251" spans="1:9" x14ac:dyDescent="0.25">
      <c r="A251" s="3">
        <v>10701</v>
      </c>
      <c r="B251" s="4">
        <v>44922</v>
      </c>
      <c r="C251" t="s">
        <v>25</v>
      </c>
      <c r="D251" s="3">
        <v>9.9499999999999993</v>
      </c>
      <c r="E251" s="5">
        <v>281.4070351758794</v>
      </c>
      <c r="F251" s="3" t="s">
        <v>18</v>
      </c>
      <c r="G251" s="3" t="s">
        <v>37</v>
      </c>
      <c r="H251" t="s">
        <v>23</v>
      </c>
      <c r="I251" t="s">
        <v>24</v>
      </c>
    </row>
    <row r="252" spans="1:9" x14ac:dyDescent="0.25">
      <c r="A252" s="3">
        <v>10702</v>
      </c>
      <c r="B252" s="4">
        <v>44922</v>
      </c>
      <c r="C252" t="s">
        <v>9</v>
      </c>
      <c r="D252" s="3">
        <v>3.49</v>
      </c>
      <c r="E252" s="5">
        <v>630.3724928366762</v>
      </c>
      <c r="F252" s="3" t="s">
        <v>18</v>
      </c>
      <c r="G252" s="3" t="s">
        <v>37</v>
      </c>
      <c r="H252" t="s">
        <v>23</v>
      </c>
      <c r="I252" t="s">
        <v>24</v>
      </c>
    </row>
    <row r="253" spans="1:9" x14ac:dyDescent="0.25">
      <c r="A253" s="3">
        <v>10703</v>
      </c>
      <c r="B253" s="4">
        <v>44922</v>
      </c>
      <c r="C253" t="s">
        <v>14</v>
      </c>
      <c r="D253" s="3">
        <v>2.95</v>
      </c>
      <c r="E253" s="5">
        <v>677.96610169491521</v>
      </c>
      <c r="F253" s="3" t="s">
        <v>18</v>
      </c>
      <c r="G253" s="3" t="s">
        <v>11</v>
      </c>
      <c r="H253" t="s">
        <v>23</v>
      </c>
      <c r="I253" t="s">
        <v>24</v>
      </c>
    </row>
    <row r="254" spans="1:9" x14ac:dyDescent="0.25">
      <c r="A254" s="3">
        <v>10704</v>
      </c>
      <c r="B254" s="4">
        <v>44922</v>
      </c>
      <c r="C254" t="s">
        <v>17</v>
      </c>
      <c r="D254" s="3">
        <v>4.99</v>
      </c>
      <c r="E254" s="5">
        <v>200.40080160320639</v>
      </c>
      <c r="F254" s="3" t="s">
        <v>36</v>
      </c>
      <c r="G254" s="3" t="s">
        <v>11</v>
      </c>
      <c r="H254" t="s">
        <v>23</v>
      </c>
      <c r="I254" t="s">
        <v>24</v>
      </c>
    </row>
    <row r="255" spans="1:9" x14ac:dyDescent="0.25">
      <c r="A255" s="3">
        <v>10705</v>
      </c>
      <c r="B255" s="4">
        <v>44923</v>
      </c>
      <c r="C255" t="s">
        <v>21</v>
      </c>
      <c r="D255" s="3">
        <v>12.99</v>
      </c>
      <c r="E255" s="5">
        <v>723.63356428021552</v>
      </c>
      <c r="F255" s="3" t="s">
        <v>36</v>
      </c>
      <c r="G255" s="3" t="s">
        <v>11</v>
      </c>
      <c r="H255" t="s">
        <v>23</v>
      </c>
      <c r="I255" t="s">
        <v>24</v>
      </c>
    </row>
    <row r="256" spans="1:9" x14ac:dyDescent="0.25">
      <c r="A256" s="3">
        <v>10706</v>
      </c>
      <c r="B256" s="4">
        <v>44923</v>
      </c>
      <c r="C256" t="s">
        <v>25</v>
      </c>
      <c r="D256" s="3">
        <v>9.9499999999999993</v>
      </c>
      <c r="E256" s="5">
        <v>301.50753768844226</v>
      </c>
      <c r="F256" s="3" t="s">
        <v>36</v>
      </c>
      <c r="G256" s="3" t="s">
        <v>11</v>
      </c>
      <c r="H256" t="s">
        <v>23</v>
      </c>
      <c r="I256" t="s">
        <v>24</v>
      </c>
    </row>
    <row r="257" spans="1:9" x14ac:dyDescent="0.25">
      <c r="A257" s="3">
        <v>10707</v>
      </c>
      <c r="B257" s="4">
        <v>44923</v>
      </c>
      <c r="C257" t="s">
        <v>9</v>
      </c>
      <c r="D257" s="3">
        <v>3.49</v>
      </c>
      <c r="E257" s="5">
        <v>630.3724928366762</v>
      </c>
      <c r="F257" s="3" t="s">
        <v>36</v>
      </c>
      <c r="G257" s="3" t="s">
        <v>11</v>
      </c>
      <c r="H257" t="s">
        <v>23</v>
      </c>
      <c r="I257" t="s">
        <v>24</v>
      </c>
    </row>
    <row r="258" spans="1:9" x14ac:dyDescent="0.25">
      <c r="A258" s="3">
        <v>10708</v>
      </c>
      <c r="B258" s="4">
        <v>44923</v>
      </c>
      <c r="C258" t="s">
        <v>14</v>
      </c>
      <c r="D258" s="3">
        <v>2.95</v>
      </c>
      <c r="E258" s="5">
        <v>677.96610169491521</v>
      </c>
      <c r="F258" s="3" t="s">
        <v>36</v>
      </c>
      <c r="G258" s="3" t="s">
        <v>11</v>
      </c>
      <c r="H258" t="s">
        <v>23</v>
      </c>
      <c r="I258" t="s">
        <v>24</v>
      </c>
    </row>
    <row r="259" spans="1:9" x14ac:dyDescent="0.25">
      <c r="A259" s="3">
        <v>10709</v>
      </c>
      <c r="B259" s="4">
        <v>44923</v>
      </c>
      <c r="C259" t="s">
        <v>17</v>
      </c>
      <c r="D259" s="3">
        <v>4.99</v>
      </c>
      <c r="E259" s="5">
        <v>200.40080160320639</v>
      </c>
      <c r="F259" s="3" t="s">
        <v>36</v>
      </c>
      <c r="G259" s="3" t="s">
        <v>11</v>
      </c>
      <c r="H259" t="s">
        <v>23</v>
      </c>
      <c r="I259" t="s">
        <v>24</v>
      </c>
    </row>
    <row r="260" spans="1:9" x14ac:dyDescent="0.25">
      <c r="A260" s="3">
        <v>10710</v>
      </c>
      <c r="B260" s="4">
        <v>44924</v>
      </c>
      <c r="C260" t="s">
        <v>21</v>
      </c>
      <c r="D260" s="3">
        <v>12.99</v>
      </c>
      <c r="E260" s="5">
        <v>754.42648190916088</v>
      </c>
      <c r="F260" s="3" t="s">
        <v>36</v>
      </c>
      <c r="G260" s="3" t="s">
        <v>11</v>
      </c>
      <c r="H260" t="s">
        <v>23</v>
      </c>
      <c r="I260" t="s">
        <v>24</v>
      </c>
    </row>
    <row r="261" spans="1:9" x14ac:dyDescent="0.25">
      <c r="A261" s="3">
        <v>10711</v>
      </c>
      <c r="B261" s="4">
        <v>44924</v>
      </c>
      <c r="C261" t="s">
        <v>25</v>
      </c>
      <c r="D261" s="3">
        <v>9.9499999999999993</v>
      </c>
      <c r="E261" s="5">
        <v>281.4070351758794</v>
      </c>
      <c r="F261" s="3" t="s">
        <v>36</v>
      </c>
      <c r="G261" s="3" t="s">
        <v>11</v>
      </c>
      <c r="H261" t="s">
        <v>23</v>
      </c>
      <c r="I261" t="s">
        <v>24</v>
      </c>
    </row>
    <row r="262" spans="1:9" x14ac:dyDescent="0.25">
      <c r="A262" s="3">
        <v>10712</v>
      </c>
      <c r="B262" s="4">
        <v>44924</v>
      </c>
      <c r="C262" t="s">
        <v>9</v>
      </c>
      <c r="D262" s="3">
        <v>3.49</v>
      </c>
      <c r="E262" s="5">
        <v>630.3724928366762</v>
      </c>
      <c r="F262" s="3" t="s">
        <v>36</v>
      </c>
      <c r="G262" s="3" t="s">
        <v>11</v>
      </c>
      <c r="H262" t="s">
        <v>23</v>
      </c>
      <c r="I262" t="s">
        <v>24</v>
      </c>
    </row>
    <row r="263" spans="1:9" x14ac:dyDescent="0.25">
      <c r="A263" s="3">
        <v>10713</v>
      </c>
      <c r="B263" s="4">
        <v>44924</v>
      </c>
      <c r="C263" t="s">
        <v>14</v>
      </c>
      <c r="D263" s="3">
        <v>2.95</v>
      </c>
      <c r="E263" s="5">
        <v>677.96610169491521</v>
      </c>
      <c r="F263" s="3" t="s">
        <v>36</v>
      </c>
      <c r="G263" s="3" t="s">
        <v>11</v>
      </c>
      <c r="H263" t="s">
        <v>23</v>
      </c>
      <c r="I263"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EF69C-4719-4B9A-A026-096BCC74FC31}">
  <dimension ref="A1:P263"/>
  <sheetViews>
    <sheetView topLeftCell="A239" workbookViewId="0">
      <selection activeCell="B239" sqref="B239"/>
    </sheetView>
  </sheetViews>
  <sheetFormatPr defaultRowHeight="15" x14ac:dyDescent="0.25"/>
  <cols>
    <col min="1" max="1" width="11.42578125" customWidth="1"/>
    <col min="2" max="2" width="10.42578125" bestFit="1" customWidth="1"/>
    <col min="3" max="3" width="19.140625" bestFit="1" customWidth="1"/>
    <col min="4" max="4" width="8" customWidth="1"/>
    <col min="5" max="5" width="11.85546875" style="9" customWidth="1"/>
    <col min="6" max="6" width="11.5703125" style="9" customWidth="1"/>
    <col min="7" max="7" width="17.28515625" customWidth="1"/>
    <col min="8" max="8" width="20.28515625" customWidth="1"/>
    <col min="9" max="9" width="15.42578125" bestFit="1" customWidth="1"/>
    <col min="12" max="12" width="18.140625" bestFit="1" customWidth="1"/>
    <col min="15" max="15" width="18.140625" bestFit="1" customWidth="1"/>
  </cols>
  <sheetData>
    <row r="1" spans="1:16" ht="16.5" thickBot="1" x14ac:dyDescent="0.3">
      <c r="A1" s="1" t="s">
        <v>0</v>
      </c>
      <c r="B1" s="1" t="s">
        <v>1</v>
      </c>
      <c r="C1" s="1" t="s">
        <v>2</v>
      </c>
      <c r="D1" s="2" t="s">
        <v>3</v>
      </c>
      <c r="E1" s="8" t="s">
        <v>4</v>
      </c>
      <c r="F1" s="8" t="s">
        <v>52</v>
      </c>
      <c r="G1" s="1" t="s">
        <v>5</v>
      </c>
      <c r="H1" s="1" t="s">
        <v>6</v>
      </c>
      <c r="I1" s="1" t="s">
        <v>7</v>
      </c>
      <c r="J1" s="1" t="s">
        <v>8</v>
      </c>
    </row>
    <row r="2" spans="1:16" x14ac:dyDescent="0.25">
      <c r="A2" s="3">
        <v>10452</v>
      </c>
      <c r="B2" s="4">
        <v>44872</v>
      </c>
      <c r="C2" t="s">
        <v>9</v>
      </c>
      <c r="D2" s="3">
        <v>3.49</v>
      </c>
      <c r="E2" s="7">
        <v>574</v>
      </c>
      <c r="F2" s="7">
        <f>E2*D2</f>
        <v>2003.2600000000002</v>
      </c>
      <c r="G2" s="3" t="s">
        <v>10</v>
      </c>
      <c r="H2" s="3" t="s">
        <v>11</v>
      </c>
      <c r="I2" t="s">
        <v>38</v>
      </c>
      <c r="J2" t="s">
        <v>13</v>
      </c>
      <c r="L2" s="12" t="s">
        <v>3</v>
      </c>
      <c r="M2" s="12"/>
      <c r="O2" s="12" t="s">
        <v>4</v>
      </c>
      <c r="P2" s="12"/>
    </row>
    <row r="3" spans="1:16" x14ac:dyDescent="0.25">
      <c r="A3" s="3">
        <v>10453</v>
      </c>
      <c r="B3" s="4">
        <v>44872</v>
      </c>
      <c r="C3" t="s">
        <v>14</v>
      </c>
      <c r="D3" s="3">
        <v>2.95</v>
      </c>
      <c r="E3" s="7">
        <v>746</v>
      </c>
      <c r="F3" s="7">
        <f t="shared" ref="F3:F66" si="0">E3*D3</f>
        <v>2200.7000000000003</v>
      </c>
      <c r="G3" s="3" t="s">
        <v>10</v>
      </c>
      <c r="H3" s="3" t="s">
        <v>11</v>
      </c>
      <c r="I3" t="s">
        <v>31</v>
      </c>
      <c r="J3" t="s">
        <v>16</v>
      </c>
      <c r="L3" s="10"/>
      <c r="M3" s="10"/>
      <c r="O3" s="10"/>
      <c r="P3" s="10"/>
    </row>
    <row r="4" spans="1:16" x14ac:dyDescent="0.25">
      <c r="A4" s="3">
        <v>10454</v>
      </c>
      <c r="B4" s="4">
        <v>44872</v>
      </c>
      <c r="C4" t="s">
        <v>17</v>
      </c>
      <c r="D4" s="3">
        <v>4.99</v>
      </c>
      <c r="E4" s="7">
        <v>201</v>
      </c>
      <c r="F4" s="7">
        <f t="shared" si="0"/>
        <v>1002.99</v>
      </c>
      <c r="G4" s="3" t="s">
        <v>18</v>
      </c>
      <c r="H4" s="3" t="s">
        <v>11</v>
      </c>
      <c r="I4" t="s">
        <v>35</v>
      </c>
      <c r="J4" t="s">
        <v>20</v>
      </c>
      <c r="L4" s="10" t="s">
        <v>39</v>
      </c>
      <c r="M4" s="10">
        <v>7.3410116731517689</v>
      </c>
      <c r="O4" s="10" t="s">
        <v>39</v>
      </c>
      <c r="P4" s="10">
        <v>461.24124513618676</v>
      </c>
    </row>
    <row r="5" spans="1:16" x14ac:dyDescent="0.25">
      <c r="A5" s="3">
        <v>10455</v>
      </c>
      <c r="B5" s="4">
        <v>44873</v>
      </c>
      <c r="C5" t="s">
        <v>21</v>
      </c>
      <c r="D5" s="3">
        <v>12.99</v>
      </c>
      <c r="E5" s="7">
        <v>570</v>
      </c>
      <c r="F5" s="7">
        <f t="shared" si="0"/>
        <v>7404.3</v>
      </c>
      <c r="G5" s="3" t="s">
        <v>18</v>
      </c>
      <c r="H5" s="3" t="s">
        <v>22</v>
      </c>
      <c r="I5" t="s">
        <v>23</v>
      </c>
      <c r="J5" t="s">
        <v>24</v>
      </c>
      <c r="L5" s="10" t="s">
        <v>40</v>
      </c>
      <c r="M5" s="10">
        <v>0.30396506095791431</v>
      </c>
      <c r="O5" s="10" t="s">
        <v>40</v>
      </c>
      <c r="P5" s="10">
        <v>13.380974475434584</v>
      </c>
    </row>
    <row r="6" spans="1:16" x14ac:dyDescent="0.25">
      <c r="A6" s="3">
        <v>10456</v>
      </c>
      <c r="B6" s="4">
        <v>44873</v>
      </c>
      <c r="C6" t="s">
        <v>25</v>
      </c>
      <c r="D6" s="3">
        <v>9.9499999999999993</v>
      </c>
      <c r="E6" s="7">
        <v>202</v>
      </c>
      <c r="F6" s="7">
        <f t="shared" si="0"/>
        <v>2009.8999999999999</v>
      </c>
      <c r="G6" s="3" t="s">
        <v>18</v>
      </c>
      <c r="H6" s="3" t="s">
        <v>22</v>
      </c>
      <c r="I6" t="s">
        <v>23</v>
      </c>
      <c r="J6" t="s">
        <v>24</v>
      </c>
      <c r="L6" s="10" t="s">
        <v>41</v>
      </c>
      <c r="M6" s="10">
        <v>4.99</v>
      </c>
      <c r="O6" s="10" t="s">
        <v>41</v>
      </c>
      <c r="P6" s="10">
        <v>539</v>
      </c>
    </row>
    <row r="7" spans="1:16" x14ac:dyDescent="0.25">
      <c r="A7" s="3">
        <v>10457</v>
      </c>
      <c r="B7" s="4">
        <v>44873</v>
      </c>
      <c r="C7" t="s">
        <v>9</v>
      </c>
      <c r="D7" s="3">
        <v>3.49</v>
      </c>
      <c r="E7" s="7">
        <v>574</v>
      </c>
      <c r="F7" s="7">
        <f t="shared" si="0"/>
        <v>2003.2600000000002</v>
      </c>
      <c r="G7" s="3" t="s">
        <v>18</v>
      </c>
      <c r="H7" s="3" t="s">
        <v>22</v>
      </c>
      <c r="I7" t="s">
        <v>28</v>
      </c>
      <c r="J7" t="s">
        <v>27</v>
      </c>
      <c r="L7" s="10" t="s">
        <v>42</v>
      </c>
      <c r="M7" s="10">
        <v>12.99</v>
      </c>
      <c r="O7" s="10" t="s">
        <v>42</v>
      </c>
      <c r="P7" s="10">
        <v>201</v>
      </c>
    </row>
    <row r="8" spans="1:16" x14ac:dyDescent="0.25">
      <c r="A8" s="3">
        <v>10459</v>
      </c>
      <c r="B8" s="4">
        <v>44873</v>
      </c>
      <c r="C8" t="s">
        <v>17</v>
      </c>
      <c r="D8" s="3">
        <v>4.99</v>
      </c>
      <c r="E8" s="7">
        <v>201</v>
      </c>
      <c r="F8" s="7">
        <f t="shared" si="0"/>
        <v>1002.99</v>
      </c>
      <c r="G8" s="3" t="s">
        <v>18</v>
      </c>
      <c r="H8" s="3" t="s">
        <v>22</v>
      </c>
      <c r="I8" t="s">
        <v>23</v>
      </c>
      <c r="J8" t="s">
        <v>24</v>
      </c>
      <c r="L8" s="10" t="s">
        <v>43</v>
      </c>
      <c r="M8" s="10">
        <v>4.8729306252776867</v>
      </c>
      <c r="O8" s="10" t="s">
        <v>43</v>
      </c>
      <c r="P8" s="10">
        <v>214.5133395000031</v>
      </c>
    </row>
    <row r="9" spans="1:16" x14ac:dyDescent="0.25">
      <c r="A9" s="3">
        <v>10460</v>
      </c>
      <c r="B9" s="4">
        <v>44874</v>
      </c>
      <c r="C9" t="s">
        <v>21</v>
      </c>
      <c r="D9" s="3">
        <v>12.99</v>
      </c>
      <c r="E9" s="7">
        <v>555</v>
      </c>
      <c r="F9" s="7">
        <f t="shared" si="0"/>
        <v>7209.45</v>
      </c>
      <c r="G9" s="3" t="s">
        <v>18</v>
      </c>
      <c r="H9" s="3" t="s">
        <v>22</v>
      </c>
      <c r="I9" t="s">
        <v>28</v>
      </c>
      <c r="J9" t="s">
        <v>27</v>
      </c>
      <c r="L9" s="10" t="s">
        <v>44</v>
      </c>
      <c r="M9" s="10">
        <v>23.745452878769186</v>
      </c>
      <c r="O9" s="10" t="s">
        <v>44</v>
      </c>
      <c r="P9" s="10">
        <v>46015.97282344359</v>
      </c>
    </row>
    <row r="10" spans="1:16" x14ac:dyDescent="0.25">
      <c r="A10" s="3">
        <v>10461</v>
      </c>
      <c r="B10" s="4">
        <v>44874</v>
      </c>
      <c r="C10" t="s">
        <v>25</v>
      </c>
      <c r="D10" s="3">
        <v>9.9499999999999993</v>
      </c>
      <c r="E10" s="7">
        <v>202</v>
      </c>
      <c r="F10" s="7">
        <f t="shared" si="0"/>
        <v>2009.8999999999999</v>
      </c>
      <c r="G10" s="3" t="s">
        <v>18</v>
      </c>
      <c r="H10" s="3" t="s">
        <v>22</v>
      </c>
      <c r="I10" t="s">
        <v>28</v>
      </c>
      <c r="J10" t="s">
        <v>27</v>
      </c>
      <c r="L10" s="10" t="s">
        <v>45</v>
      </c>
      <c r="M10" s="10">
        <v>4.6742476071303694</v>
      </c>
      <c r="O10" s="10" t="s">
        <v>45</v>
      </c>
      <c r="P10" s="10">
        <v>-1.7242037395630254</v>
      </c>
    </row>
    <row r="11" spans="1:16" x14ac:dyDescent="0.25">
      <c r="A11" s="3">
        <v>10462</v>
      </c>
      <c r="B11" s="4">
        <v>44874</v>
      </c>
      <c r="C11" t="s">
        <v>9</v>
      </c>
      <c r="D11" s="3">
        <v>3.49</v>
      </c>
      <c r="E11" s="7">
        <v>574</v>
      </c>
      <c r="F11" s="7">
        <f t="shared" si="0"/>
        <v>2003.2600000000002</v>
      </c>
      <c r="G11" s="3" t="s">
        <v>18</v>
      </c>
      <c r="H11" s="3" t="s">
        <v>22</v>
      </c>
      <c r="I11" t="s">
        <v>28</v>
      </c>
      <c r="J11" t="s">
        <v>27</v>
      </c>
      <c r="L11" s="10" t="s">
        <v>46</v>
      </c>
      <c r="M11" s="10">
        <v>1.6233288756456574</v>
      </c>
      <c r="O11" s="10" t="s">
        <v>46</v>
      </c>
      <c r="P11" s="10">
        <v>-0.21424989618873261</v>
      </c>
    </row>
    <row r="12" spans="1:16" x14ac:dyDescent="0.25">
      <c r="A12" s="3">
        <v>10463</v>
      </c>
      <c r="B12" s="4">
        <v>44874</v>
      </c>
      <c r="C12" t="s">
        <v>14</v>
      </c>
      <c r="D12" s="3">
        <v>2.95</v>
      </c>
      <c r="E12" s="7">
        <v>678</v>
      </c>
      <c r="F12" s="7">
        <f t="shared" si="0"/>
        <v>2000.1000000000001</v>
      </c>
      <c r="G12" s="3" t="s">
        <v>18</v>
      </c>
      <c r="H12" s="3" t="s">
        <v>22</v>
      </c>
      <c r="I12" t="s">
        <v>28</v>
      </c>
      <c r="J12" t="s">
        <v>27</v>
      </c>
      <c r="L12" s="10" t="s">
        <v>47</v>
      </c>
      <c r="M12" s="10">
        <v>30.27</v>
      </c>
      <c r="O12" s="10" t="s">
        <v>47</v>
      </c>
      <c r="P12" s="10">
        <v>554</v>
      </c>
    </row>
    <row r="13" spans="1:16" x14ac:dyDescent="0.25">
      <c r="A13" s="3">
        <v>10464</v>
      </c>
      <c r="B13" s="4">
        <v>44874</v>
      </c>
      <c r="C13" t="s">
        <v>17</v>
      </c>
      <c r="D13" s="3">
        <v>4.99</v>
      </c>
      <c r="E13" s="7">
        <v>201</v>
      </c>
      <c r="F13" s="7">
        <f t="shared" si="0"/>
        <v>1002.99</v>
      </c>
      <c r="G13" s="3" t="s">
        <v>18</v>
      </c>
      <c r="H13" s="3" t="s">
        <v>22</v>
      </c>
      <c r="I13" t="s">
        <v>28</v>
      </c>
      <c r="J13" t="s">
        <v>27</v>
      </c>
      <c r="L13" s="10" t="s">
        <v>48</v>
      </c>
      <c r="M13" s="10">
        <v>2.95</v>
      </c>
      <c r="O13" s="10" t="s">
        <v>48</v>
      </c>
      <c r="P13" s="10">
        <v>201</v>
      </c>
    </row>
    <row r="14" spans="1:16" x14ac:dyDescent="0.25">
      <c r="A14" s="3">
        <v>10465</v>
      </c>
      <c r="B14" s="4">
        <v>44875</v>
      </c>
      <c r="C14" t="s">
        <v>21</v>
      </c>
      <c r="D14" s="3">
        <v>12.99</v>
      </c>
      <c r="E14" s="7">
        <v>555</v>
      </c>
      <c r="F14" s="7">
        <f t="shared" si="0"/>
        <v>7209.45</v>
      </c>
      <c r="G14" s="3" t="s">
        <v>18</v>
      </c>
      <c r="H14" s="3" t="s">
        <v>22</v>
      </c>
      <c r="I14" t="s">
        <v>31</v>
      </c>
      <c r="J14" t="s">
        <v>16</v>
      </c>
      <c r="L14" s="10" t="s">
        <v>49</v>
      </c>
      <c r="M14" s="10">
        <v>33.22</v>
      </c>
      <c r="O14" s="10" t="s">
        <v>49</v>
      </c>
      <c r="P14" s="10">
        <v>755</v>
      </c>
    </row>
    <row r="15" spans="1:16" x14ac:dyDescent="0.25">
      <c r="A15" s="3">
        <v>10466</v>
      </c>
      <c r="B15" s="4">
        <v>44875</v>
      </c>
      <c r="C15" t="s">
        <v>25</v>
      </c>
      <c r="D15" s="3">
        <v>9.9499999999999993</v>
      </c>
      <c r="E15" s="7">
        <v>202</v>
      </c>
      <c r="F15" s="7">
        <f t="shared" si="0"/>
        <v>2009.8999999999999</v>
      </c>
      <c r="G15" s="3" t="s">
        <v>18</v>
      </c>
      <c r="H15" s="3" t="s">
        <v>22</v>
      </c>
      <c r="I15" t="s">
        <v>31</v>
      </c>
      <c r="J15" t="s">
        <v>16</v>
      </c>
      <c r="L15" s="10" t="s">
        <v>50</v>
      </c>
      <c r="M15" s="10">
        <v>1886.6400000000046</v>
      </c>
      <c r="O15" s="10" t="s">
        <v>50</v>
      </c>
      <c r="P15" s="10">
        <v>118539</v>
      </c>
    </row>
    <row r="16" spans="1:16" ht="15.75" thickBot="1" x14ac:dyDescent="0.3">
      <c r="A16" s="3">
        <v>10467</v>
      </c>
      <c r="B16" s="4">
        <v>44875</v>
      </c>
      <c r="C16" t="s">
        <v>9</v>
      </c>
      <c r="D16" s="3">
        <v>3.49</v>
      </c>
      <c r="E16" s="7">
        <v>574</v>
      </c>
      <c r="F16" s="7">
        <f t="shared" si="0"/>
        <v>2003.2600000000002</v>
      </c>
      <c r="G16" s="3" t="s">
        <v>18</v>
      </c>
      <c r="H16" s="3" t="s">
        <v>22</v>
      </c>
      <c r="I16" t="s">
        <v>31</v>
      </c>
      <c r="J16" t="s">
        <v>16</v>
      </c>
      <c r="L16" s="11" t="s">
        <v>51</v>
      </c>
      <c r="M16" s="11">
        <v>257</v>
      </c>
      <c r="O16" s="11" t="s">
        <v>51</v>
      </c>
      <c r="P16" s="11">
        <v>257</v>
      </c>
    </row>
    <row r="17" spans="1:10" x14ac:dyDescent="0.25">
      <c r="A17" s="3">
        <v>10468</v>
      </c>
      <c r="B17" s="4">
        <v>44875</v>
      </c>
      <c r="C17" t="s">
        <v>14</v>
      </c>
      <c r="D17" s="3">
        <v>2.95</v>
      </c>
      <c r="E17" s="7">
        <v>678</v>
      </c>
      <c r="F17" s="7">
        <f t="shared" si="0"/>
        <v>2000.1000000000001</v>
      </c>
      <c r="G17" s="3" t="s">
        <v>18</v>
      </c>
      <c r="H17" s="3" t="s">
        <v>22</v>
      </c>
      <c r="I17" t="s">
        <v>31</v>
      </c>
      <c r="J17" t="s">
        <v>16</v>
      </c>
    </row>
    <row r="18" spans="1:10" x14ac:dyDescent="0.25">
      <c r="A18" s="3">
        <v>10470</v>
      </c>
      <c r="B18" s="4">
        <v>44876</v>
      </c>
      <c r="C18" t="s">
        <v>21</v>
      </c>
      <c r="D18" s="3">
        <v>12.99</v>
      </c>
      <c r="E18" s="7">
        <v>555</v>
      </c>
      <c r="F18" s="7">
        <f t="shared" si="0"/>
        <v>7209.45</v>
      </c>
      <c r="G18" s="3" t="s">
        <v>18</v>
      </c>
      <c r="H18" s="3" t="s">
        <v>22</v>
      </c>
      <c r="I18" t="s">
        <v>31</v>
      </c>
      <c r="J18" t="s">
        <v>16</v>
      </c>
    </row>
    <row r="19" spans="1:10" x14ac:dyDescent="0.25">
      <c r="A19" s="3">
        <v>10471</v>
      </c>
      <c r="B19" s="4">
        <v>44876</v>
      </c>
      <c r="C19" t="s">
        <v>25</v>
      </c>
      <c r="D19" s="3">
        <v>9.9499999999999993</v>
      </c>
      <c r="E19" s="7">
        <v>202</v>
      </c>
      <c r="F19" s="7">
        <f t="shared" si="0"/>
        <v>2009.8999999999999</v>
      </c>
      <c r="G19" s="3" t="s">
        <v>18</v>
      </c>
      <c r="H19" s="3" t="s">
        <v>22</v>
      </c>
      <c r="I19" t="s">
        <v>31</v>
      </c>
      <c r="J19" t="s">
        <v>16</v>
      </c>
    </row>
    <row r="20" spans="1:10" x14ac:dyDescent="0.25">
      <c r="A20" s="3">
        <v>10472</v>
      </c>
      <c r="B20" s="4">
        <v>44876</v>
      </c>
      <c r="C20" t="s">
        <v>9</v>
      </c>
      <c r="D20" s="3">
        <v>3.49</v>
      </c>
      <c r="E20" s="7">
        <v>631</v>
      </c>
      <c r="F20" s="7">
        <f t="shared" si="0"/>
        <v>2202.19</v>
      </c>
      <c r="G20" s="3" t="s">
        <v>18</v>
      </c>
      <c r="H20" s="3" t="s">
        <v>22</v>
      </c>
      <c r="I20" t="s">
        <v>31</v>
      </c>
      <c r="J20" t="s">
        <v>16</v>
      </c>
    </row>
    <row r="21" spans="1:10" x14ac:dyDescent="0.25">
      <c r="A21" s="3">
        <v>10473</v>
      </c>
      <c r="B21" s="4">
        <v>44876</v>
      </c>
      <c r="C21" t="s">
        <v>14</v>
      </c>
      <c r="D21" s="3">
        <v>2.95</v>
      </c>
      <c r="E21" s="7">
        <v>678</v>
      </c>
      <c r="F21" s="7">
        <f t="shared" si="0"/>
        <v>2000.1000000000001</v>
      </c>
      <c r="G21" s="3" t="s">
        <v>18</v>
      </c>
      <c r="H21" s="3" t="s">
        <v>22</v>
      </c>
      <c r="I21" t="s">
        <v>31</v>
      </c>
      <c r="J21" t="s">
        <v>16</v>
      </c>
    </row>
    <row r="22" spans="1:10" x14ac:dyDescent="0.25">
      <c r="A22" s="3">
        <v>10474</v>
      </c>
      <c r="B22" s="4">
        <v>44876</v>
      </c>
      <c r="C22" t="s">
        <v>17</v>
      </c>
      <c r="D22" s="3">
        <v>4.99</v>
      </c>
      <c r="E22" s="7">
        <v>201</v>
      </c>
      <c r="F22" s="7">
        <f t="shared" si="0"/>
        <v>1002.99</v>
      </c>
      <c r="G22" s="3" t="s">
        <v>18</v>
      </c>
      <c r="H22" s="3" t="s">
        <v>22</v>
      </c>
      <c r="I22" t="s">
        <v>31</v>
      </c>
      <c r="J22" t="s">
        <v>16</v>
      </c>
    </row>
    <row r="23" spans="1:10" x14ac:dyDescent="0.25">
      <c r="A23" s="3">
        <v>10475</v>
      </c>
      <c r="B23" s="4">
        <v>44877</v>
      </c>
      <c r="C23" t="s">
        <v>21</v>
      </c>
      <c r="D23" s="3">
        <v>12.99</v>
      </c>
      <c r="E23" s="7">
        <v>524</v>
      </c>
      <c r="F23" s="7">
        <f t="shared" si="0"/>
        <v>6806.76</v>
      </c>
      <c r="G23" s="3" t="s">
        <v>18</v>
      </c>
      <c r="H23" s="3" t="s">
        <v>22</v>
      </c>
      <c r="I23" t="s">
        <v>31</v>
      </c>
      <c r="J23" t="s">
        <v>16</v>
      </c>
    </row>
    <row r="24" spans="1:10" x14ac:dyDescent="0.25">
      <c r="A24" s="3">
        <v>10476</v>
      </c>
      <c r="B24" s="4">
        <v>44877</v>
      </c>
      <c r="C24" t="s">
        <v>25</v>
      </c>
      <c r="D24" s="3">
        <v>9.9499999999999993</v>
      </c>
      <c r="E24" s="7">
        <v>202</v>
      </c>
      <c r="F24" s="7">
        <f t="shared" si="0"/>
        <v>2009.8999999999999</v>
      </c>
      <c r="G24" s="3" t="s">
        <v>18</v>
      </c>
      <c r="H24" s="3" t="s">
        <v>22</v>
      </c>
      <c r="I24" t="s">
        <v>31</v>
      </c>
      <c r="J24" t="s">
        <v>16</v>
      </c>
    </row>
    <row r="25" spans="1:10" x14ac:dyDescent="0.25">
      <c r="A25" s="3">
        <v>10477</v>
      </c>
      <c r="B25" s="4">
        <v>44877</v>
      </c>
      <c r="C25" t="s">
        <v>9</v>
      </c>
      <c r="D25" s="3">
        <v>3.49</v>
      </c>
      <c r="E25" s="7">
        <v>631</v>
      </c>
      <c r="F25" s="7">
        <f t="shared" si="0"/>
        <v>2202.19</v>
      </c>
      <c r="G25" s="3" t="s">
        <v>18</v>
      </c>
      <c r="H25" s="3" t="s">
        <v>22</v>
      </c>
      <c r="I25" t="s">
        <v>31</v>
      </c>
      <c r="J25" t="s">
        <v>16</v>
      </c>
    </row>
    <row r="26" spans="1:10" x14ac:dyDescent="0.25">
      <c r="A26" s="3">
        <v>10478</v>
      </c>
      <c r="B26" s="4">
        <v>44877</v>
      </c>
      <c r="C26" t="s">
        <v>14</v>
      </c>
      <c r="D26" s="3">
        <v>2.95</v>
      </c>
      <c r="E26" s="7">
        <v>678</v>
      </c>
      <c r="F26" s="7">
        <f t="shared" si="0"/>
        <v>2000.1000000000001</v>
      </c>
      <c r="G26" s="3" t="s">
        <v>18</v>
      </c>
      <c r="H26" s="3" t="s">
        <v>22</v>
      </c>
      <c r="I26" t="s">
        <v>31</v>
      </c>
      <c r="J26" t="s">
        <v>16</v>
      </c>
    </row>
    <row r="27" spans="1:10" x14ac:dyDescent="0.25">
      <c r="A27" s="3">
        <v>10479</v>
      </c>
      <c r="B27" s="4">
        <v>44877</v>
      </c>
      <c r="C27" t="s">
        <v>17</v>
      </c>
      <c r="D27" s="3">
        <v>4.99</v>
      </c>
      <c r="E27" s="7">
        <v>201</v>
      </c>
      <c r="F27" s="7">
        <f t="shared" si="0"/>
        <v>1002.99</v>
      </c>
      <c r="G27" s="3" t="s">
        <v>18</v>
      </c>
      <c r="H27" s="3" t="s">
        <v>22</v>
      </c>
      <c r="I27" t="s">
        <v>31</v>
      </c>
      <c r="J27" t="s">
        <v>16</v>
      </c>
    </row>
    <row r="28" spans="1:10" x14ac:dyDescent="0.25">
      <c r="A28" s="3">
        <v>10480</v>
      </c>
      <c r="B28" s="4">
        <v>44878</v>
      </c>
      <c r="C28" t="s">
        <v>21</v>
      </c>
      <c r="D28" s="3">
        <v>12.99</v>
      </c>
      <c r="E28" s="7">
        <v>509</v>
      </c>
      <c r="F28" s="7">
        <f t="shared" si="0"/>
        <v>6611.91</v>
      </c>
      <c r="G28" s="3" t="s">
        <v>18</v>
      </c>
      <c r="H28" s="3" t="s">
        <v>22</v>
      </c>
      <c r="I28" t="s">
        <v>31</v>
      </c>
      <c r="J28" t="s">
        <v>16</v>
      </c>
    </row>
    <row r="29" spans="1:10" x14ac:dyDescent="0.25">
      <c r="A29" s="3">
        <v>10481</v>
      </c>
      <c r="B29" s="4">
        <v>44878</v>
      </c>
      <c r="C29" t="s">
        <v>25</v>
      </c>
      <c r="D29" s="3">
        <v>9.9499999999999993</v>
      </c>
      <c r="E29" s="7">
        <v>202</v>
      </c>
      <c r="F29" s="7">
        <f t="shared" si="0"/>
        <v>2009.8999999999999</v>
      </c>
      <c r="G29" s="3" t="s">
        <v>18</v>
      </c>
      <c r="H29" s="3" t="s">
        <v>22</v>
      </c>
      <c r="I29" t="s">
        <v>31</v>
      </c>
      <c r="J29" t="s">
        <v>16</v>
      </c>
    </row>
    <row r="30" spans="1:10" x14ac:dyDescent="0.25">
      <c r="A30" s="3">
        <v>10482</v>
      </c>
      <c r="B30" s="4">
        <v>44878</v>
      </c>
      <c r="C30" t="s">
        <v>9</v>
      </c>
      <c r="D30" s="3">
        <v>25.5</v>
      </c>
      <c r="E30" s="7">
        <v>631</v>
      </c>
      <c r="F30" s="7">
        <f t="shared" si="0"/>
        <v>16090.5</v>
      </c>
      <c r="G30" s="3" t="s">
        <v>18</v>
      </c>
      <c r="H30" s="3" t="s">
        <v>22</v>
      </c>
      <c r="I30" t="s">
        <v>35</v>
      </c>
      <c r="J30" t="s">
        <v>20</v>
      </c>
    </row>
    <row r="31" spans="1:10" x14ac:dyDescent="0.25">
      <c r="A31" s="3">
        <v>10483</v>
      </c>
      <c r="B31" s="4">
        <v>44878</v>
      </c>
      <c r="C31" t="s">
        <v>14</v>
      </c>
      <c r="D31" s="3">
        <v>33.22</v>
      </c>
      <c r="E31" s="7">
        <v>678</v>
      </c>
      <c r="F31" s="7">
        <f t="shared" si="0"/>
        <v>22523.16</v>
      </c>
      <c r="G31" s="3" t="s">
        <v>18</v>
      </c>
      <c r="H31" s="3" t="s">
        <v>22</v>
      </c>
      <c r="I31" t="s">
        <v>35</v>
      </c>
      <c r="J31" t="s">
        <v>20</v>
      </c>
    </row>
    <row r="32" spans="1:10" x14ac:dyDescent="0.25">
      <c r="A32" s="3">
        <v>10484</v>
      </c>
      <c r="B32" s="4">
        <v>44878</v>
      </c>
      <c r="C32" t="s">
        <v>17</v>
      </c>
      <c r="D32" s="3">
        <v>21.44</v>
      </c>
      <c r="E32" s="7">
        <v>201</v>
      </c>
      <c r="F32" s="7">
        <f t="shared" si="0"/>
        <v>4309.4400000000005</v>
      </c>
      <c r="G32" s="3" t="s">
        <v>18</v>
      </c>
      <c r="H32" s="3" t="s">
        <v>22</v>
      </c>
      <c r="I32" t="s">
        <v>35</v>
      </c>
      <c r="J32" t="s">
        <v>20</v>
      </c>
    </row>
    <row r="33" spans="1:10" x14ac:dyDescent="0.25">
      <c r="A33" s="3">
        <v>10485</v>
      </c>
      <c r="B33" s="4">
        <v>44879</v>
      </c>
      <c r="C33" t="s">
        <v>21</v>
      </c>
      <c r="D33" s="3">
        <v>27.99</v>
      </c>
      <c r="E33" s="7">
        <v>524</v>
      </c>
      <c r="F33" s="7">
        <f t="shared" si="0"/>
        <v>14666.759999999998</v>
      </c>
      <c r="G33" s="3" t="s">
        <v>18</v>
      </c>
      <c r="H33" s="3" t="s">
        <v>22</v>
      </c>
      <c r="I33" t="s">
        <v>35</v>
      </c>
      <c r="J33" t="s">
        <v>20</v>
      </c>
    </row>
    <row r="34" spans="1:10" x14ac:dyDescent="0.25">
      <c r="A34" s="3">
        <v>10486</v>
      </c>
      <c r="B34" s="4">
        <v>44879</v>
      </c>
      <c r="C34" t="s">
        <v>25</v>
      </c>
      <c r="D34" s="3">
        <v>29.05</v>
      </c>
      <c r="E34" s="7">
        <v>202</v>
      </c>
      <c r="F34" s="7">
        <f t="shared" si="0"/>
        <v>5868.1</v>
      </c>
      <c r="G34" s="3" t="s">
        <v>18</v>
      </c>
      <c r="H34" s="3" t="s">
        <v>22</v>
      </c>
      <c r="I34" t="s">
        <v>35</v>
      </c>
      <c r="J34" t="s">
        <v>20</v>
      </c>
    </row>
    <row r="35" spans="1:10" x14ac:dyDescent="0.25">
      <c r="A35" s="3">
        <v>10487</v>
      </c>
      <c r="B35" s="4">
        <v>44879</v>
      </c>
      <c r="C35" t="s">
        <v>9</v>
      </c>
      <c r="D35" s="3">
        <v>3.49</v>
      </c>
      <c r="E35" s="7">
        <v>631</v>
      </c>
      <c r="F35" s="7">
        <f t="shared" si="0"/>
        <v>2202.19</v>
      </c>
      <c r="G35" s="3" t="s">
        <v>18</v>
      </c>
      <c r="H35" s="3" t="s">
        <v>22</v>
      </c>
      <c r="I35" t="s">
        <v>35</v>
      </c>
      <c r="J35" t="s">
        <v>20</v>
      </c>
    </row>
    <row r="36" spans="1:10" x14ac:dyDescent="0.25">
      <c r="A36" s="3">
        <v>10488</v>
      </c>
      <c r="B36" s="4">
        <v>44879</v>
      </c>
      <c r="C36" t="s">
        <v>14</v>
      </c>
      <c r="D36" s="3">
        <v>2.95</v>
      </c>
      <c r="E36" s="7">
        <v>678</v>
      </c>
      <c r="F36" s="7">
        <f t="shared" si="0"/>
        <v>2000.1000000000001</v>
      </c>
      <c r="G36" s="3" t="s">
        <v>18</v>
      </c>
      <c r="H36" s="3" t="s">
        <v>22</v>
      </c>
      <c r="I36" t="s">
        <v>35</v>
      </c>
      <c r="J36" t="s">
        <v>20</v>
      </c>
    </row>
    <row r="37" spans="1:10" x14ac:dyDescent="0.25">
      <c r="A37" s="3">
        <v>10489</v>
      </c>
      <c r="B37" s="4">
        <v>44879</v>
      </c>
      <c r="C37" t="s">
        <v>17</v>
      </c>
      <c r="D37" s="3">
        <v>4.99</v>
      </c>
      <c r="E37" s="7">
        <v>201</v>
      </c>
      <c r="F37" s="7">
        <f t="shared" si="0"/>
        <v>1002.99</v>
      </c>
      <c r="G37" s="3" t="s">
        <v>18</v>
      </c>
      <c r="H37" s="3" t="s">
        <v>22</v>
      </c>
      <c r="I37" t="s">
        <v>31</v>
      </c>
      <c r="J37" t="s">
        <v>16</v>
      </c>
    </row>
    <row r="38" spans="1:10" x14ac:dyDescent="0.25">
      <c r="A38" s="3">
        <v>10490</v>
      </c>
      <c r="B38" s="4">
        <v>44880</v>
      </c>
      <c r="C38" t="s">
        <v>21</v>
      </c>
      <c r="D38" s="3">
        <v>12.99</v>
      </c>
      <c r="E38" s="7">
        <v>509</v>
      </c>
      <c r="F38" s="7">
        <f t="shared" si="0"/>
        <v>6611.91</v>
      </c>
      <c r="G38" s="3" t="s">
        <v>18</v>
      </c>
      <c r="H38" s="3" t="s">
        <v>22</v>
      </c>
      <c r="I38" t="s">
        <v>31</v>
      </c>
      <c r="J38" t="s">
        <v>16</v>
      </c>
    </row>
    <row r="39" spans="1:10" x14ac:dyDescent="0.25">
      <c r="A39" s="3">
        <v>10491</v>
      </c>
      <c r="B39" s="4">
        <v>44880</v>
      </c>
      <c r="C39" t="s">
        <v>25</v>
      </c>
      <c r="D39" s="3">
        <v>9.9499999999999993</v>
      </c>
      <c r="E39" s="7">
        <v>202</v>
      </c>
      <c r="F39" s="7">
        <f t="shared" si="0"/>
        <v>2009.8999999999999</v>
      </c>
      <c r="G39" s="3" t="s">
        <v>18</v>
      </c>
      <c r="H39" s="3" t="s">
        <v>22</v>
      </c>
      <c r="I39" t="s">
        <v>31</v>
      </c>
      <c r="J39" t="s">
        <v>16</v>
      </c>
    </row>
    <row r="40" spans="1:10" x14ac:dyDescent="0.25">
      <c r="A40" s="3">
        <v>10492</v>
      </c>
      <c r="B40" s="4">
        <v>44880</v>
      </c>
      <c r="C40" t="s">
        <v>9</v>
      </c>
      <c r="D40" s="3">
        <v>3.49</v>
      </c>
      <c r="E40" s="7">
        <v>574</v>
      </c>
      <c r="F40" s="7">
        <f t="shared" si="0"/>
        <v>2003.2600000000002</v>
      </c>
      <c r="G40" s="3" t="s">
        <v>18</v>
      </c>
      <c r="H40" s="3" t="s">
        <v>22</v>
      </c>
      <c r="I40" t="s">
        <v>31</v>
      </c>
      <c r="J40" t="s">
        <v>16</v>
      </c>
    </row>
    <row r="41" spans="1:10" x14ac:dyDescent="0.25">
      <c r="A41" s="3">
        <v>10493</v>
      </c>
      <c r="B41" s="4">
        <v>44880</v>
      </c>
      <c r="C41" t="s">
        <v>14</v>
      </c>
      <c r="D41" s="3">
        <v>2.95</v>
      </c>
      <c r="E41" s="7">
        <v>678</v>
      </c>
      <c r="F41" s="7">
        <f t="shared" si="0"/>
        <v>2000.1000000000001</v>
      </c>
      <c r="G41" s="3" t="s">
        <v>18</v>
      </c>
      <c r="H41" s="3" t="s">
        <v>22</v>
      </c>
      <c r="I41" t="s">
        <v>31</v>
      </c>
      <c r="J41" t="s">
        <v>16</v>
      </c>
    </row>
    <row r="42" spans="1:10" x14ac:dyDescent="0.25">
      <c r="A42" s="3">
        <v>10494</v>
      </c>
      <c r="B42" s="4">
        <v>44880</v>
      </c>
      <c r="C42" t="s">
        <v>17</v>
      </c>
      <c r="D42" s="3">
        <v>4.99</v>
      </c>
      <c r="E42" s="7">
        <v>201</v>
      </c>
      <c r="F42" s="7">
        <f t="shared" si="0"/>
        <v>1002.99</v>
      </c>
      <c r="G42" s="3" t="s">
        <v>18</v>
      </c>
      <c r="H42" s="3" t="s">
        <v>22</v>
      </c>
      <c r="I42" t="s">
        <v>31</v>
      </c>
      <c r="J42" t="s">
        <v>16</v>
      </c>
    </row>
    <row r="43" spans="1:10" x14ac:dyDescent="0.25">
      <c r="A43" s="3">
        <v>10495</v>
      </c>
      <c r="B43" s="4">
        <v>44881</v>
      </c>
      <c r="C43" t="s">
        <v>21</v>
      </c>
      <c r="D43" s="3">
        <v>12.99</v>
      </c>
      <c r="E43" s="7">
        <v>509</v>
      </c>
      <c r="F43" s="7">
        <f t="shared" si="0"/>
        <v>6611.91</v>
      </c>
      <c r="G43" s="3" t="s">
        <v>18</v>
      </c>
      <c r="H43" s="3" t="s">
        <v>22</v>
      </c>
      <c r="I43" t="s">
        <v>31</v>
      </c>
      <c r="J43" t="s">
        <v>16</v>
      </c>
    </row>
    <row r="44" spans="1:10" x14ac:dyDescent="0.25">
      <c r="A44" s="3">
        <v>10496</v>
      </c>
      <c r="B44" s="4">
        <v>44881</v>
      </c>
      <c r="C44" t="s">
        <v>25</v>
      </c>
      <c r="D44" s="3">
        <v>9.9499999999999993</v>
      </c>
      <c r="E44" s="7">
        <v>202</v>
      </c>
      <c r="F44" s="7">
        <f t="shared" si="0"/>
        <v>2009.8999999999999</v>
      </c>
      <c r="G44" s="3" t="s">
        <v>18</v>
      </c>
      <c r="H44" s="3" t="s">
        <v>22</v>
      </c>
      <c r="I44" t="s">
        <v>31</v>
      </c>
      <c r="J44" t="s">
        <v>16</v>
      </c>
    </row>
    <row r="45" spans="1:10" x14ac:dyDescent="0.25">
      <c r="A45" s="3">
        <v>10497</v>
      </c>
      <c r="B45" s="4">
        <v>44881</v>
      </c>
      <c r="C45" t="s">
        <v>9</v>
      </c>
      <c r="D45" s="3">
        <v>3.49</v>
      </c>
      <c r="E45" s="7">
        <v>574</v>
      </c>
      <c r="F45" s="7">
        <f t="shared" si="0"/>
        <v>2003.2600000000002</v>
      </c>
      <c r="G45" s="3" t="s">
        <v>18</v>
      </c>
      <c r="H45" s="3" t="s">
        <v>22</v>
      </c>
      <c r="I45" t="s">
        <v>31</v>
      </c>
      <c r="J45" t="s">
        <v>16</v>
      </c>
    </row>
    <row r="46" spans="1:10" x14ac:dyDescent="0.25">
      <c r="A46" s="3">
        <v>10498</v>
      </c>
      <c r="B46" s="4">
        <v>44881</v>
      </c>
      <c r="C46" t="s">
        <v>14</v>
      </c>
      <c r="D46" s="3">
        <v>2.95</v>
      </c>
      <c r="E46" s="7">
        <v>678</v>
      </c>
      <c r="F46" s="7">
        <f t="shared" si="0"/>
        <v>2000.1000000000001</v>
      </c>
      <c r="G46" s="3" t="s">
        <v>36</v>
      </c>
      <c r="H46" s="3" t="s">
        <v>22</v>
      </c>
      <c r="I46" t="s">
        <v>31</v>
      </c>
      <c r="J46" t="s">
        <v>16</v>
      </c>
    </row>
    <row r="47" spans="1:10" x14ac:dyDescent="0.25">
      <c r="A47" s="3">
        <v>10499</v>
      </c>
      <c r="B47" s="4">
        <v>44881</v>
      </c>
      <c r="C47" t="s">
        <v>17</v>
      </c>
      <c r="D47" s="3">
        <v>4.99</v>
      </c>
      <c r="E47" s="7">
        <v>201</v>
      </c>
      <c r="F47" s="7">
        <f t="shared" si="0"/>
        <v>1002.99</v>
      </c>
      <c r="G47" s="3" t="s">
        <v>36</v>
      </c>
      <c r="H47" s="3" t="s">
        <v>22</v>
      </c>
      <c r="I47" t="s">
        <v>31</v>
      </c>
      <c r="J47" t="s">
        <v>16</v>
      </c>
    </row>
    <row r="48" spans="1:10" x14ac:dyDescent="0.25">
      <c r="A48" s="3">
        <v>10500</v>
      </c>
      <c r="B48" s="4">
        <v>44882</v>
      </c>
      <c r="C48" t="s">
        <v>21</v>
      </c>
      <c r="D48" s="3">
        <v>12.99</v>
      </c>
      <c r="E48" s="7">
        <v>524</v>
      </c>
      <c r="F48" s="7">
        <f t="shared" si="0"/>
        <v>6806.76</v>
      </c>
      <c r="G48" s="3" t="s">
        <v>36</v>
      </c>
      <c r="H48" s="3" t="s">
        <v>22</v>
      </c>
      <c r="I48" t="s">
        <v>31</v>
      </c>
      <c r="J48" t="s">
        <v>16</v>
      </c>
    </row>
    <row r="49" spans="1:10" x14ac:dyDescent="0.25">
      <c r="A49" s="3">
        <v>10501</v>
      </c>
      <c r="B49" s="4">
        <v>44882</v>
      </c>
      <c r="C49" t="s">
        <v>25</v>
      </c>
      <c r="D49" s="3">
        <v>9.9499999999999993</v>
      </c>
      <c r="E49" s="7">
        <v>202</v>
      </c>
      <c r="F49" s="7">
        <f t="shared" si="0"/>
        <v>2009.8999999999999</v>
      </c>
      <c r="G49" s="3" t="s">
        <v>36</v>
      </c>
      <c r="H49" s="3" t="s">
        <v>22</v>
      </c>
      <c r="I49" t="s">
        <v>31</v>
      </c>
      <c r="J49" t="s">
        <v>16</v>
      </c>
    </row>
    <row r="50" spans="1:10" x14ac:dyDescent="0.25">
      <c r="A50" s="3">
        <v>10502</v>
      </c>
      <c r="B50" s="4">
        <v>44882</v>
      </c>
      <c r="C50" t="s">
        <v>9</v>
      </c>
      <c r="D50" s="3">
        <v>3.49</v>
      </c>
      <c r="E50" s="7">
        <v>631</v>
      </c>
      <c r="F50" s="7">
        <f t="shared" si="0"/>
        <v>2202.19</v>
      </c>
      <c r="G50" s="3" t="s">
        <v>36</v>
      </c>
      <c r="H50" s="3" t="s">
        <v>22</v>
      </c>
      <c r="I50" t="s">
        <v>31</v>
      </c>
      <c r="J50" t="s">
        <v>16</v>
      </c>
    </row>
    <row r="51" spans="1:10" x14ac:dyDescent="0.25">
      <c r="A51" s="3">
        <v>10503</v>
      </c>
      <c r="B51" s="4">
        <v>44882</v>
      </c>
      <c r="C51" t="s">
        <v>14</v>
      </c>
      <c r="D51" s="3">
        <v>2.95</v>
      </c>
      <c r="E51" s="7">
        <v>678</v>
      </c>
      <c r="F51" s="7">
        <f t="shared" si="0"/>
        <v>2000.1000000000001</v>
      </c>
      <c r="G51" s="3" t="s">
        <v>36</v>
      </c>
      <c r="H51" s="3" t="s">
        <v>22</v>
      </c>
      <c r="I51" t="s">
        <v>31</v>
      </c>
      <c r="J51" t="s">
        <v>16</v>
      </c>
    </row>
    <row r="52" spans="1:10" x14ac:dyDescent="0.25">
      <c r="A52" s="3">
        <v>10504</v>
      </c>
      <c r="B52" s="4">
        <v>44882</v>
      </c>
      <c r="C52" t="s">
        <v>17</v>
      </c>
      <c r="D52" s="3">
        <v>4.99</v>
      </c>
      <c r="E52" s="7">
        <v>201</v>
      </c>
      <c r="F52" s="7">
        <f t="shared" si="0"/>
        <v>1002.99</v>
      </c>
      <c r="G52" s="3" t="s">
        <v>36</v>
      </c>
      <c r="H52" s="3" t="s">
        <v>22</v>
      </c>
      <c r="I52" t="s">
        <v>31</v>
      </c>
      <c r="J52" t="s">
        <v>16</v>
      </c>
    </row>
    <row r="53" spans="1:10" x14ac:dyDescent="0.25">
      <c r="A53" s="3">
        <v>10505</v>
      </c>
      <c r="B53" s="4">
        <v>44883</v>
      </c>
      <c r="C53" t="s">
        <v>21</v>
      </c>
      <c r="D53" s="3">
        <v>12.99</v>
      </c>
      <c r="E53" s="7">
        <v>539</v>
      </c>
      <c r="F53" s="7">
        <f t="shared" si="0"/>
        <v>7001.61</v>
      </c>
      <c r="G53" s="3" t="s">
        <v>36</v>
      </c>
      <c r="H53" s="3" t="s">
        <v>22</v>
      </c>
      <c r="I53" t="s">
        <v>31</v>
      </c>
      <c r="J53" t="s">
        <v>16</v>
      </c>
    </row>
    <row r="54" spans="1:10" x14ac:dyDescent="0.25">
      <c r="A54" s="3">
        <v>10506</v>
      </c>
      <c r="B54" s="4">
        <v>44883</v>
      </c>
      <c r="C54" t="s">
        <v>25</v>
      </c>
      <c r="D54" s="3">
        <v>9.9499999999999993</v>
      </c>
      <c r="E54" s="7">
        <v>202</v>
      </c>
      <c r="F54" s="7">
        <f t="shared" si="0"/>
        <v>2009.8999999999999</v>
      </c>
      <c r="G54" s="3" t="s">
        <v>36</v>
      </c>
      <c r="H54" s="3" t="s">
        <v>22</v>
      </c>
      <c r="I54" t="s">
        <v>31</v>
      </c>
      <c r="J54" t="s">
        <v>16</v>
      </c>
    </row>
    <row r="55" spans="1:10" x14ac:dyDescent="0.25">
      <c r="A55" s="3">
        <v>10507</v>
      </c>
      <c r="B55" s="4">
        <v>44883</v>
      </c>
      <c r="C55" t="s">
        <v>9</v>
      </c>
      <c r="D55" s="3">
        <v>3.49</v>
      </c>
      <c r="E55" s="7">
        <v>688</v>
      </c>
      <c r="F55" s="7">
        <f t="shared" si="0"/>
        <v>2401.1200000000003</v>
      </c>
      <c r="G55" s="3" t="s">
        <v>36</v>
      </c>
      <c r="H55" s="3" t="s">
        <v>22</v>
      </c>
      <c r="I55" t="s">
        <v>31</v>
      </c>
      <c r="J55" t="s">
        <v>16</v>
      </c>
    </row>
    <row r="56" spans="1:10" x14ac:dyDescent="0.25">
      <c r="A56" s="3">
        <v>10508</v>
      </c>
      <c r="B56" s="4">
        <v>44883</v>
      </c>
      <c r="C56" t="s">
        <v>14</v>
      </c>
      <c r="D56" s="3">
        <v>2.95</v>
      </c>
      <c r="E56" s="7">
        <v>678</v>
      </c>
      <c r="F56" s="7">
        <f t="shared" si="0"/>
        <v>2000.1000000000001</v>
      </c>
      <c r="G56" s="3" t="s">
        <v>36</v>
      </c>
      <c r="H56" s="3" t="s">
        <v>22</v>
      </c>
      <c r="I56" t="s">
        <v>31</v>
      </c>
      <c r="J56" t="s">
        <v>16</v>
      </c>
    </row>
    <row r="57" spans="1:10" x14ac:dyDescent="0.25">
      <c r="A57" s="3">
        <v>10509</v>
      </c>
      <c r="B57" s="4">
        <v>44883</v>
      </c>
      <c r="C57" t="s">
        <v>17</v>
      </c>
      <c r="D57" s="3">
        <v>4.99</v>
      </c>
      <c r="E57" s="7">
        <v>201</v>
      </c>
      <c r="F57" s="7">
        <f t="shared" si="0"/>
        <v>1002.99</v>
      </c>
      <c r="G57" s="3" t="s">
        <v>36</v>
      </c>
      <c r="H57" s="3" t="s">
        <v>22</v>
      </c>
      <c r="I57" t="s">
        <v>31</v>
      </c>
      <c r="J57" t="s">
        <v>16</v>
      </c>
    </row>
    <row r="58" spans="1:10" x14ac:dyDescent="0.25">
      <c r="A58" s="3">
        <v>10510</v>
      </c>
      <c r="B58" s="4">
        <v>44884</v>
      </c>
      <c r="C58" t="s">
        <v>21</v>
      </c>
      <c r="D58" s="3">
        <v>12.99</v>
      </c>
      <c r="E58" s="7">
        <v>509</v>
      </c>
      <c r="F58" s="7">
        <f t="shared" si="0"/>
        <v>6611.91</v>
      </c>
      <c r="G58" s="3" t="s">
        <v>36</v>
      </c>
      <c r="H58" s="3" t="s">
        <v>22</v>
      </c>
      <c r="I58" t="s">
        <v>31</v>
      </c>
      <c r="J58" t="s">
        <v>16</v>
      </c>
    </row>
    <row r="59" spans="1:10" x14ac:dyDescent="0.25">
      <c r="A59" s="3">
        <v>10511</v>
      </c>
      <c r="B59" s="4">
        <v>44884</v>
      </c>
      <c r="C59" t="s">
        <v>25</v>
      </c>
      <c r="D59" s="3">
        <v>9.9499999999999993</v>
      </c>
      <c r="E59" s="7">
        <v>202</v>
      </c>
      <c r="F59" s="7">
        <f t="shared" si="0"/>
        <v>2009.8999999999999</v>
      </c>
      <c r="G59" s="3" t="s">
        <v>36</v>
      </c>
      <c r="H59" s="3" t="s">
        <v>22</v>
      </c>
      <c r="I59" t="s">
        <v>35</v>
      </c>
      <c r="J59" t="s">
        <v>20</v>
      </c>
    </row>
    <row r="60" spans="1:10" x14ac:dyDescent="0.25">
      <c r="A60" s="3">
        <v>10512</v>
      </c>
      <c r="B60" s="4">
        <v>44884</v>
      </c>
      <c r="C60" t="s">
        <v>9</v>
      </c>
      <c r="D60" s="3">
        <v>3.49</v>
      </c>
      <c r="E60" s="7">
        <v>688</v>
      </c>
      <c r="F60" s="7">
        <f t="shared" si="0"/>
        <v>2401.1200000000003</v>
      </c>
      <c r="G60" s="3" t="s">
        <v>36</v>
      </c>
      <c r="H60" s="3" t="s">
        <v>22</v>
      </c>
      <c r="I60" t="s">
        <v>35</v>
      </c>
      <c r="J60" t="s">
        <v>20</v>
      </c>
    </row>
    <row r="61" spans="1:10" x14ac:dyDescent="0.25">
      <c r="A61" s="3">
        <v>10513</v>
      </c>
      <c r="B61" s="4">
        <v>44884</v>
      </c>
      <c r="C61" t="s">
        <v>14</v>
      </c>
      <c r="D61" s="3">
        <v>2.95</v>
      </c>
      <c r="E61" s="7">
        <v>678</v>
      </c>
      <c r="F61" s="7">
        <f t="shared" si="0"/>
        <v>2000.1000000000001</v>
      </c>
      <c r="G61" s="3" t="s">
        <v>36</v>
      </c>
      <c r="H61" s="3" t="s">
        <v>37</v>
      </c>
      <c r="I61" t="s">
        <v>35</v>
      </c>
      <c r="J61" t="s">
        <v>20</v>
      </c>
    </row>
    <row r="62" spans="1:10" x14ac:dyDescent="0.25">
      <c r="A62" s="3">
        <v>10514</v>
      </c>
      <c r="B62" s="4">
        <v>44884</v>
      </c>
      <c r="C62" t="s">
        <v>17</v>
      </c>
      <c r="D62" s="3">
        <v>4.99</v>
      </c>
      <c r="E62" s="7">
        <v>201</v>
      </c>
      <c r="F62" s="7">
        <f t="shared" si="0"/>
        <v>1002.99</v>
      </c>
      <c r="G62" s="3" t="s">
        <v>36</v>
      </c>
      <c r="H62" s="3" t="s">
        <v>37</v>
      </c>
      <c r="I62" t="s">
        <v>35</v>
      </c>
      <c r="J62" t="s">
        <v>20</v>
      </c>
    </row>
    <row r="63" spans="1:10" x14ac:dyDescent="0.25">
      <c r="A63" s="3">
        <v>10515</v>
      </c>
      <c r="B63" s="4">
        <v>44885</v>
      </c>
      <c r="C63" t="s">
        <v>21</v>
      </c>
      <c r="D63" s="3">
        <v>12.99</v>
      </c>
      <c r="E63" s="7">
        <v>478</v>
      </c>
      <c r="F63" s="7">
        <f t="shared" si="0"/>
        <v>6209.22</v>
      </c>
      <c r="G63" s="3" t="s">
        <v>36</v>
      </c>
      <c r="H63" s="3" t="s">
        <v>37</v>
      </c>
      <c r="I63" t="s">
        <v>35</v>
      </c>
      <c r="J63" t="s">
        <v>20</v>
      </c>
    </row>
    <row r="64" spans="1:10" x14ac:dyDescent="0.25">
      <c r="A64" s="3">
        <v>10516</v>
      </c>
      <c r="B64" s="4">
        <v>44885</v>
      </c>
      <c r="C64" t="s">
        <v>25</v>
      </c>
      <c r="D64" s="3">
        <v>9.9499999999999993</v>
      </c>
      <c r="E64" s="7">
        <v>202</v>
      </c>
      <c r="F64" s="7">
        <f t="shared" si="0"/>
        <v>2009.8999999999999</v>
      </c>
      <c r="G64" s="3" t="s">
        <v>36</v>
      </c>
      <c r="H64" s="3" t="s">
        <v>37</v>
      </c>
      <c r="I64" t="s">
        <v>35</v>
      </c>
      <c r="J64" t="s">
        <v>20</v>
      </c>
    </row>
    <row r="65" spans="1:10" x14ac:dyDescent="0.25">
      <c r="A65" s="3">
        <v>10483</v>
      </c>
      <c r="B65" s="4">
        <v>44878</v>
      </c>
      <c r="C65" t="s">
        <v>14</v>
      </c>
      <c r="D65" s="3">
        <v>2.95</v>
      </c>
      <c r="E65" s="7">
        <v>678</v>
      </c>
      <c r="F65" s="7">
        <f t="shared" si="0"/>
        <v>2000.1000000000001</v>
      </c>
      <c r="G65" s="3" t="s">
        <v>18</v>
      </c>
      <c r="H65" s="3" t="s">
        <v>22</v>
      </c>
      <c r="I65" t="s">
        <v>35</v>
      </c>
      <c r="J65" t="s">
        <v>20</v>
      </c>
    </row>
    <row r="66" spans="1:10" x14ac:dyDescent="0.25">
      <c r="A66" s="3">
        <v>10484</v>
      </c>
      <c r="B66" s="4">
        <v>44878</v>
      </c>
      <c r="C66" t="s">
        <v>17</v>
      </c>
      <c r="D66" s="3">
        <v>4.99</v>
      </c>
      <c r="E66" s="7">
        <v>201</v>
      </c>
      <c r="F66" s="7">
        <f t="shared" si="0"/>
        <v>1002.99</v>
      </c>
      <c r="G66" s="3" t="s">
        <v>18</v>
      </c>
      <c r="H66" s="3" t="s">
        <v>22</v>
      </c>
      <c r="I66" t="s">
        <v>35</v>
      </c>
      <c r="J66" t="s">
        <v>20</v>
      </c>
    </row>
    <row r="67" spans="1:10" x14ac:dyDescent="0.25">
      <c r="A67" s="3">
        <v>10485</v>
      </c>
      <c r="B67" s="4">
        <v>44879</v>
      </c>
      <c r="C67" t="s">
        <v>21</v>
      </c>
      <c r="D67" s="3">
        <v>12.99</v>
      </c>
      <c r="E67" s="7">
        <v>524</v>
      </c>
      <c r="F67" s="7">
        <f t="shared" ref="F67:F130" si="1">E67*D67</f>
        <v>6806.76</v>
      </c>
      <c r="G67" s="3" t="s">
        <v>18</v>
      </c>
      <c r="H67" s="3" t="s">
        <v>22</v>
      </c>
      <c r="I67" t="s">
        <v>35</v>
      </c>
      <c r="J67" t="s">
        <v>20</v>
      </c>
    </row>
    <row r="68" spans="1:10" x14ac:dyDescent="0.25">
      <c r="A68" s="3">
        <v>10520</v>
      </c>
      <c r="B68" s="4">
        <v>44886</v>
      </c>
      <c r="C68" t="s">
        <v>21</v>
      </c>
      <c r="D68" s="3">
        <v>12.99</v>
      </c>
      <c r="E68" s="7">
        <v>493</v>
      </c>
      <c r="F68" s="7">
        <f t="shared" si="1"/>
        <v>6404.07</v>
      </c>
      <c r="G68" s="3" t="s">
        <v>36</v>
      </c>
      <c r="H68" s="3" t="s">
        <v>37</v>
      </c>
      <c r="I68" t="s">
        <v>28</v>
      </c>
      <c r="J68" t="s">
        <v>27</v>
      </c>
    </row>
    <row r="69" spans="1:10" x14ac:dyDescent="0.25">
      <c r="A69" s="3">
        <v>10521</v>
      </c>
      <c r="B69" s="4">
        <v>44886</v>
      </c>
      <c r="C69" t="s">
        <v>25</v>
      </c>
      <c r="D69" s="3">
        <v>9.9499999999999993</v>
      </c>
      <c r="E69" s="7">
        <v>202</v>
      </c>
      <c r="F69" s="7">
        <f t="shared" si="1"/>
        <v>2009.8999999999999</v>
      </c>
      <c r="G69" s="3" t="s">
        <v>36</v>
      </c>
      <c r="H69" s="3" t="s">
        <v>37</v>
      </c>
      <c r="I69" t="s">
        <v>28</v>
      </c>
      <c r="J69" t="s">
        <v>27</v>
      </c>
    </row>
    <row r="70" spans="1:10" x14ac:dyDescent="0.25">
      <c r="A70" s="3">
        <v>10522</v>
      </c>
      <c r="B70" s="4">
        <v>44886</v>
      </c>
      <c r="C70" t="s">
        <v>9</v>
      </c>
      <c r="D70" s="3">
        <v>3.49</v>
      </c>
      <c r="E70" s="7">
        <v>688</v>
      </c>
      <c r="F70" s="7">
        <f t="shared" si="1"/>
        <v>2401.1200000000003</v>
      </c>
      <c r="G70" s="3" t="s">
        <v>36</v>
      </c>
      <c r="H70" s="3" t="s">
        <v>37</v>
      </c>
      <c r="I70" t="s">
        <v>28</v>
      </c>
      <c r="J70" t="s">
        <v>27</v>
      </c>
    </row>
    <row r="71" spans="1:10" x14ac:dyDescent="0.25">
      <c r="A71" s="3">
        <v>10523</v>
      </c>
      <c r="B71" s="4">
        <v>44886</v>
      </c>
      <c r="C71" t="s">
        <v>14</v>
      </c>
      <c r="D71" s="3">
        <v>2.95</v>
      </c>
      <c r="E71" s="7">
        <v>746</v>
      </c>
      <c r="F71" s="7">
        <f t="shared" si="1"/>
        <v>2200.7000000000003</v>
      </c>
      <c r="G71" s="3" t="s">
        <v>36</v>
      </c>
      <c r="H71" s="3" t="s">
        <v>37</v>
      </c>
      <c r="I71" t="s">
        <v>28</v>
      </c>
      <c r="J71" t="s">
        <v>27</v>
      </c>
    </row>
    <row r="72" spans="1:10" x14ac:dyDescent="0.25">
      <c r="A72" s="3">
        <v>10524</v>
      </c>
      <c r="B72" s="4">
        <v>44886</v>
      </c>
      <c r="C72" t="s">
        <v>17</v>
      </c>
      <c r="D72" s="3">
        <v>4.99</v>
      </c>
      <c r="E72" s="7">
        <v>201</v>
      </c>
      <c r="F72" s="7">
        <f t="shared" si="1"/>
        <v>1002.99</v>
      </c>
      <c r="G72" s="3" t="s">
        <v>36</v>
      </c>
      <c r="H72" s="3" t="s">
        <v>37</v>
      </c>
      <c r="I72" t="s">
        <v>28</v>
      </c>
      <c r="J72" t="s">
        <v>27</v>
      </c>
    </row>
    <row r="73" spans="1:10" x14ac:dyDescent="0.25">
      <c r="A73" s="3">
        <v>10525</v>
      </c>
      <c r="B73" s="4">
        <v>44887</v>
      </c>
      <c r="C73" t="s">
        <v>21</v>
      </c>
      <c r="D73" s="3">
        <v>12.99</v>
      </c>
      <c r="E73" s="7">
        <v>462</v>
      </c>
      <c r="F73" s="7">
        <f t="shared" si="1"/>
        <v>6001.38</v>
      </c>
      <c r="G73" s="3" t="s">
        <v>36</v>
      </c>
      <c r="H73" s="3" t="s">
        <v>37</v>
      </c>
      <c r="I73" t="s">
        <v>28</v>
      </c>
      <c r="J73" t="s">
        <v>27</v>
      </c>
    </row>
    <row r="74" spans="1:10" x14ac:dyDescent="0.25">
      <c r="A74" s="3">
        <v>10526</v>
      </c>
      <c r="B74" s="4">
        <v>44887</v>
      </c>
      <c r="C74" t="s">
        <v>25</v>
      </c>
      <c r="D74" s="3">
        <v>9.9499999999999993</v>
      </c>
      <c r="E74" s="7">
        <v>202</v>
      </c>
      <c r="F74" s="7">
        <f t="shared" si="1"/>
        <v>2009.8999999999999</v>
      </c>
      <c r="G74" s="3" t="s">
        <v>36</v>
      </c>
      <c r="H74" s="3" t="s">
        <v>37</v>
      </c>
      <c r="I74" t="s">
        <v>28</v>
      </c>
      <c r="J74" t="s">
        <v>27</v>
      </c>
    </row>
    <row r="75" spans="1:10" x14ac:dyDescent="0.25">
      <c r="A75" s="3">
        <v>10527</v>
      </c>
      <c r="B75" s="4">
        <v>44887</v>
      </c>
      <c r="C75" t="s">
        <v>9</v>
      </c>
      <c r="D75" s="3">
        <v>3.49</v>
      </c>
      <c r="E75" s="7">
        <v>688</v>
      </c>
      <c r="F75" s="7">
        <f t="shared" si="1"/>
        <v>2401.1200000000003</v>
      </c>
      <c r="G75" s="3" t="s">
        <v>36</v>
      </c>
      <c r="H75" s="3" t="s">
        <v>37</v>
      </c>
      <c r="I75" t="s">
        <v>28</v>
      </c>
      <c r="J75" t="s">
        <v>27</v>
      </c>
    </row>
    <row r="76" spans="1:10" x14ac:dyDescent="0.25">
      <c r="A76" s="3">
        <v>10528</v>
      </c>
      <c r="B76" s="4">
        <v>44887</v>
      </c>
      <c r="C76" t="s">
        <v>14</v>
      </c>
      <c r="D76" s="3">
        <v>2.95</v>
      </c>
      <c r="E76" s="7">
        <v>746</v>
      </c>
      <c r="F76" s="7">
        <f t="shared" si="1"/>
        <v>2200.7000000000003</v>
      </c>
      <c r="G76" s="3" t="s">
        <v>36</v>
      </c>
      <c r="H76" s="3" t="s">
        <v>37</v>
      </c>
      <c r="I76" t="s">
        <v>28</v>
      </c>
      <c r="J76" t="s">
        <v>27</v>
      </c>
    </row>
    <row r="77" spans="1:10" x14ac:dyDescent="0.25">
      <c r="A77" s="3">
        <v>10529</v>
      </c>
      <c r="B77" s="4">
        <v>44887</v>
      </c>
      <c r="C77" t="s">
        <v>17</v>
      </c>
      <c r="D77" s="3">
        <v>4.99</v>
      </c>
      <c r="E77" s="7">
        <v>201</v>
      </c>
      <c r="F77" s="7">
        <f t="shared" si="1"/>
        <v>1002.99</v>
      </c>
      <c r="G77" s="3" t="s">
        <v>36</v>
      </c>
      <c r="H77" s="3" t="s">
        <v>37</v>
      </c>
      <c r="I77" t="s">
        <v>28</v>
      </c>
      <c r="J77" t="s">
        <v>27</v>
      </c>
    </row>
    <row r="78" spans="1:10" x14ac:dyDescent="0.25">
      <c r="A78" s="3">
        <v>10530</v>
      </c>
      <c r="B78" s="4">
        <v>44888</v>
      </c>
      <c r="C78" t="s">
        <v>21</v>
      </c>
      <c r="D78" s="3">
        <v>12.99</v>
      </c>
      <c r="E78" s="7">
        <v>478</v>
      </c>
      <c r="F78" s="7">
        <f t="shared" si="1"/>
        <v>6209.22</v>
      </c>
      <c r="G78" s="3" t="s">
        <v>36</v>
      </c>
      <c r="H78" s="3" t="s">
        <v>37</v>
      </c>
      <c r="I78" t="s">
        <v>28</v>
      </c>
      <c r="J78" t="s">
        <v>27</v>
      </c>
    </row>
    <row r="79" spans="1:10" x14ac:dyDescent="0.25">
      <c r="A79" s="3">
        <v>10531</v>
      </c>
      <c r="B79" s="4">
        <v>44888</v>
      </c>
      <c r="C79" t="s">
        <v>25</v>
      </c>
      <c r="D79" s="3">
        <v>9.9499999999999993</v>
      </c>
      <c r="E79" s="7">
        <v>202</v>
      </c>
      <c r="F79" s="7">
        <f t="shared" si="1"/>
        <v>2009.8999999999999</v>
      </c>
      <c r="G79" s="3" t="s">
        <v>36</v>
      </c>
      <c r="H79" s="3" t="s">
        <v>37</v>
      </c>
      <c r="I79" t="s">
        <v>28</v>
      </c>
      <c r="J79" t="s">
        <v>27</v>
      </c>
    </row>
    <row r="80" spans="1:10" x14ac:dyDescent="0.25">
      <c r="A80" s="3">
        <v>10532</v>
      </c>
      <c r="B80" s="4">
        <v>44888</v>
      </c>
      <c r="C80" t="s">
        <v>9</v>
      </c>
      <c r="D80" s="3">
        <v>3.49</v>
      </c>
      <c r="E80" s="7">
        <v>688</v>
      </c>
      <c r="F80" s="7">
        <f t="shared" si="1"/>
        <v>2401.1200000000003</v>
      </c>
      <c r="G80" s="3" t="s">
        <v>36</v>
      </c>
      <c r="H80" s="3" t="s">
        <v>37</v>
      </c>
      <c r="I80" t="s">
        <v>35</v>
      </c>
      <c r="J80" t="s">
        <v>20</v>
      </c>
    </row>
    <row r="81" spans="1:10" x14ac:dyDescent="0.25">
      <c r="A81" s="3">
        <v>10533</v>
      </c>
      <c r="B81" s="4">
        <v>44888</v>
      </c>
      <c r="C81" t="s">
        <v>14</v>
      </c>
      <c r="D81" s="3">
        <v>2.95</v>
      </c>
      <c r="E81" s="7">
        <v>746</v>
      </c>
      <c r="F81" s="7">
        <f t="shared" si="1"/>
        <v>2200.7000000000003</v>
      </c>
      <c r="G81" s="3" t="s">
        <v>36</v>
      </c>
      <c r="H81" s="3" t="s">
        <v>37</v>
      </c>
      <c r="I81" t="s">
        <v>35</v>
      </c>
      <c r="J81" t="s">
        <v>20</v>
      </c>
    </row>
    <row r="82" spans="1:10" x14ac:dyDescent="0.25">
      <c r="A82" s="3">
        <v>10534</v>
      </c>
      <c r="B82" s="4">
        <v>44888</v>
      </c>
      <c r="C82" t="s">
        <v>17</v>
      </c>
      <c r="D82" s="3">
        <v>4.99</v>
      </c>
      <c r="E82" s="7">
        <v>201</v>
      </c>
      <c r="F82" s="7">
        <f t="shared" si="1"/>
        <v>1002.99</v>
      </c>
      <c r="G82" s="3" t="s">
        <v>36</v>
      </c>
      <c r="H82" s="3" t="s">
        <v>37</v>
      </c>
      <c r="I82" t="s">
        <v>31</v>
      </c>
      <c r="J82" t="s">
        <v>16</v>
      </c>
    </row>
    <row r="83" spans="1:10" x14ac:dyDescent="0.25">
      <c r="A83" s="3">
        <v>10535</v>
      </c>
      <c r="B83" s="4">
        <v>44889</v>
      </c>
      <c r="C83" t="s">
        <v>21</v>
      </c>
      <c r="D83" s="3">
        <v>12.99</v>
      </c>
      <c r="E83" s="7">
        <v>478</v>
      </c>
      <c r="F83" s="7">
        <f t="shared" si="1"/>
        <v>6209.22</v>
      </c>
      <c r="G83" s="3" t="s">
        <v>36</v>
      </c>
      <c r="H83" s="3" t="s">
        <v>22</v>
      </c>
      <c r="I83" t="s">
        <v>31</v>
      </c>
      <c r="J83" t="s">
        <v>16</v>
      </c>
    </row>
    <row r="84" spans="1:10" x14ac:dyDescent="0.25">
      <c r="A84" s="3">
        <v>10536</v>
      </c>
      <c r="B84" s="4">
        <v>44889</v>
      </c>
      <c r="C84" t="s">
        <v>25</v>
      </c>
      <c r="D84" s="3">
        <v>9.9499999999999993</v>
      </c>
      <c r="E84" s="7">
        <v>202</v>
      </c>
      <c r="F84" s="7">
        <f t="shared" si="1"/>
        <v>2009.8999999999999</v>
      </c>
      <c r="G84" s="3" t="s">
        <v>36</v>
      </c>
      <c r="H84" s="3" t="s">
        <v>22</v>
      </c>
      <c r="I84" t="s">
        <v>31</v>
      </c>
      <c r="J84" t="s">
        <v>16</v>
      </c>
    </row>
    <row r="85" spans="1:10" x14ac:dyDescent="0.25">
      <c r="A85" s="3">
        <v>10537</v>
      </c>
      <c r="B85" s="4">
        <v>44889</v>
      </c>
      <c r="C85" t="s">
        <v>9</v>
      </c>
      <c r="D85" s="3">
        <v>3.49</v>
      </c>
      <c r="E85" s="7">
        <v>631</v>
      </c>
      <c r="F85" s="7">
        <f t="shared" si="1"/>
        <v>2202.19</v>
      </c>
      <c r="G85" s="3" t="s">
        <v>36</v>
      </c>
      <c r="H85" s="3" t="s">
        <v>22</v>
      </c>
      <c r="I85" t="s">
        <v>31</v>
      </c>
      <c r="J85" t="s">
        <v>16</v>
      </c>
    </row>
    <row r="86" spans="1:10" x14ac:dyDescent="0.25">
      <c r="A86" s="3">
        <v>10538</v>
      </c>
      <c r="B86" s="4">
        <v>44889</v>
      </c>
      <c r="C86" t="s">
        <v>14</v>
      </c>
      <c r="D86" s="3">
        <v>2.95</v>
      </c>
      <c r="E86" s="7">
        <v>746</v>
      </c>
      <c r="F86" s="7">
        <f t="shared" si="1"/>
        <v>2200.7000000000003</v>
      </c>
      <c r="G86" s="3" t="s">
        <v>36</v>
      </c>
      <c r="H86" s="3" t="s">
        <v>22</v>
      </c>
      <c r="I86" t="s">
        <v>31</v>
      </c>
      <c r="J86" t="s">
        <v>16</v>
      </c>
    </row>
    <row r="87" spans="1:10" x14ac:dyDescent="0.25">
      <c r="A87" s="3">
        <v>10539</v>
      </c>
      <c r="B87" s="4">
        <v>44889</v>
      </c>
      <c r="C87" t="s">
        <v>17</v>
      </c>
      <c r="D87" s="3">
        <v>4.99</v>
      </c>
      <c r="E87" s="7">
        <v>201</v>
      </c>
      <c r="F87" s="7">
        <f t="shared" si="1"/>
        <v>1002.99</v>
      </c>
      <c r="G87" s="3" t="s">
        <v>36</v>
      </c>
      <c r="H87" s="3" t="s">
        <v>22</v>
      </c>
      <c r="I87" t="s">
        <v>31</v>
      </c>
      <c r="J87" t="s">
        <v>16</v>
      </c>
    </row>
    <row r="88" spans="1:10" x14ac:dyDescent="0.25">
      <c r="A88" s="3">
        <v>10540</v>
      </c>
      <c r="B88" s="4">
        <v>44890</v>
      </c>
      <c r="C88" t="s">
        <v>21</v>
      </c>
      <c r="D88" s="3">
        <v>12.99</v>
      </c>
      <c r="E88" s="7">
        <v>462</v>
      </c>
      <c r="F88" s="7">
        <f t="shared" si="1"/>
        <v>6001.38</v>
      </c>
      <c r="G88" s="3" t="s">
        <v>36</v>
      </c>
      <c r="H88" s="3" t="s">
        <v>22</v>
      </c>
      <c r="I88" t="s">
        <v>31</v>
      </c>
      <c r="J88" t="s">
        <v>16</v>
      </c>
    </row>
    <row r="89" spans="1:10" x14ac:dyDescent="0.25">
      <c r="A89" s="3">
        <v>10541</v>
      </c>
      <c r="B89" s="4">
        <v>44890</v>
      </c>
      <c r="C89" t="s">
        <v>25</v>
      </c>
      <c r="D89" s="3">
        <v>9.9499999999999993</v>
      </c>
      <c r="E89" s="7">
        <v>202</v>
      </c>
      <c r="F89" s="7">
        <f t="shared" si="1"/>
        <v>2009.8999999999999</v>
      </c>
      <c r="G89" s="3" t="s">
        <v>36</v>
      </c>
      <c r="H89" s="3" t="s">
        <v>22</v>
      </c>
      <c r="I89" t="s">
        <v>38</v>
      </c>
      <c r="J89" t="s">
        <v>13</v>
      </c>
    </row>
    <row r="90" spans="1:10" x14ac:dyDescent="0.25">
      <c r="A90" s="3">
        <v>10542</v>
      </c>
      <c r="B90" s="4">
        <v>44890</v>
      </c>
      <c r="C90" t="s">
        <v>9</v>
      </c>
      <c r="D90" s="3">
        <v>3.49</v>
      </c>
      <c r="E90" s="7">
        <v>631</v>
      </c>
      <c r="F90" s="7">
        <f t="shared" si="1"/>
        <v>2202.19</v>
      </c>
      <c r="G90" s="3" t="s">
        <v>36</v>
      </c>
      <c r="H90" s="3" t="s">
        <v>22</v>
      </c>
      <c r="I90" t="s">
        <v>38</v>
      </c>
      <c r="J90" t="s">
        <v>13</v>
      </c>
    </row>
    <row r="91" spans="1:10" x14ac:dyDescent="0.25">
      <c r="A91" s="3">
        <v>10543</v>
      </c>
      <c r="B91" s="4">
        <v>44890</v>
      </c>
      <c r="C91" t="s">
        <v>14</v>
      </c>
      <c r="D91" s="3">
        <v>2.95</v>
      </c>
      <c r="E91" s="7">
        <v>746</v>
      </c>
      <c r="F91" s="7">
        <f t="shared" si="1"/>
        <v>2200.7000000000003</v>
      </c>
      <c r="G91" s="3" t="s">
        <v>36</v>
      </c>
      <c r="H91" s="3" t="s">
        <v>22</v>
      </c>
      <c r="I91" t="s">
        <v>38</v>
      </c>
      <c r="J91" t="s">
        <v>13</v>
      </c>
    </row>
    <row r="92" spans="1:10" x14ac:dyDescent="0.25">
      <c r="A92" s="3">
        <v>10544</v>
      </c>
      <c r="B92" s="4">
        <v>44890</v>
      </c>
      <c r="C92" t="s">
        <v>17</v>
      </c>
      <c r="D92" s="3">
        <v>4.99</v>
      </c>
      <c r="E92" s="7">
        <v>201</v>
      </c>
      <c r="F92" s="7">
        <f t="shared" si="1"/>
        <v>1002.99</v>
      </c>
      <c r="G92" s="3" t="s">
        <v>36</v>
      </c>
      <c r="H92" s="3" t="s">
        <v>22</v>
      </c>
      <c r="I92" t="s">
        <v>38</v>
      </c>
      <c r="J92" t="s">
        <v>13</v>
      </c>
    </row>
    <row r="93" spans="1:10" x14ac:dyDescent="0.25">
      <c r="A93" s="3">
        <v>10545</v>
      </c>
      <c r="B93" s="4">
        <v>44891</v>
      </c>
      <c r="C93" t="s">
        <v>21</v>
      </c>
      <c r="D93" s="3">
        <v>12.99</v>
      </c>
      <c r="E93" s="7">
        <v>447</v>
      </c>
      <c r="F93" s="7">
        <f t="shared" si="1"/>
        <v>5806.53</v>
      </c>
      <c r="G93" s="3" t="s">
        <v>36</v>
      </c>
      <c r="H93" s="3" t="s">
        <v>22</v>
      </c>
      <c r="I93" t="s">
        <v>38</v>
      </c>
      <c r="J93" t="s">
        <v>13</v>
      </c>
    </row>
    <row r="94" spans="1:10" x14ac:dyDescent="0.25">
      <c r="A94" s="3">
        <v>10546</v>
      </c>
      <c r="B94" s="4">
        <v>44891</v>
      </c>
      <c r="C94" t="s">
        <v>25</v>
      </c>
      <c r="D94" s="3">
        <v>9.9499999999999993</v>
      </c>
      <c r="E94" s="7">
        <v>202</v>
      </c>
      <c r="F94" s="7">
        <f t="shared" si="1"/>
        <v>2009.8999999999999</v>
      </c>
      <c r="G94" s="3" t="s">
        <v>36</v>
      </c>
      <c r="H94" s="3" t="s">
        <v>22</v>
      </c>
      <c r="I94" t="s">
        <v>38</v>
      </c>
      <c r="J94" t="s">
        <v>13</v>
      </c>
    </row>
    <row r="95" spans="1:10" x14ac:dyDescent="0.25">
      <c r="A95" s="3">
        <v>10547</v>
      </c>
      <c r="B95" s="4">
        <v>44891</v>
      </c>
      <c r="C95" t="s">
        <v>9</v>
      </c>
      <c r="D95" s="3">
        <v>3.49</v>
      </c>
      <c r="E95" s="7">
        <v>631</v>
      </c>
      <c r="F95" s="7">
        <f t="shared" si="1"/>
        <v>2202.19</v>
      </c>
      <c r="G95" s="3" t="s">
        <v>36</v>
      </c>
      <c r="H95" s="3" t="s">
        <v>22</v>
      </c>
      <c r="I95" t="s">
        <v>38</v>
      </c>
      <c r="J95" t="s">
        <v>13</v>
      </c>
    </row>
    <row r="96" spans="1:10" x14ac:dyDescent="0.25">
      <c r="A96" s="3">
        <v>10548</v>
      </c>
      <c r="B96" s="4">
        <v>44891</v>
      </c>
      <c r="C96" t="s">
        <v>14</v>
      </c>
      <c r="D96" s="3">
        <v>2.95</v>
      </c>
      <c r="E96" s="7">
        <v>746</v>
      </c>
      <c r="F96" s="7">
        <f t="shared" si="1"/>
        <v>2200.7000000000003</v>
      </c>
      <c r="G96" s="3" t="s">
        <v>36</v>
      </c>
      <c r="H96" s="3" t="s">
        <v>22</v>
      </c>
      <c r="I96" t="s">
        <v>38</v>
      </c>
      <c r="J96" t="s">
        <v>13</v>
      </c>
    </row>
    <row r="97" spans="1:10" x14ac:dyDescent="0.25">
      <c r="A97" s="3">
        <v>10549</v>
      </c>
      <c r="B97" s="4">
        <v>44891</v>
      </c>
      <c r="C97" t="s">
        <v>17</v>
      </c>
      <c r="D97" s="3">
        <v>4.99</v>
      </c>
      <c r="E97" s="7">
        <v>201</v>
      </c>
      <c r="F97" s="7">
        <f t="shared" si="1"/>
        <v>1002.99</v>
      </c>
      <c r="G97" s="3" t="s">
        <v>36</v>
      </c>
      <c r="H97" s="3" t="s">
        <v>22</v>
      </c>
      <c r="I97" t="s">
        <v>38</v>
      </c>
      <c r="J97" t="s">
        <v>13</v>
      </c>
    </row>
    <row r="98" spans="1:10" x14ac:dyDescent="0.25">
      <c r="A98" s="3">
        <v>10550</v>
      </c>
      <c r="B98" s="4">
        <v>44892</v>
      </c>
      <c r="C98" t="s">
        <v>21</v>
      </c>
      <c r="D98" s="3">
        <v>12.99</v>
      </c>
      <c r="E98" s="7">
        <v>462</v>
      </c>
      <c r="F98" s="7">
        <f t="shared" si="1"/>
        <v>6001.38</v>
      </c>
      <c r="G98" s="3" t="s">
        <v>36</v>
      </c>
      <c r="H98" s="3" t="s">
        <v>22</v>
      </c>
      <c r="I98" t="s">
        <v>38</v>
      </c>
      <c r="J98" t="s">
        <v>13</v>
      </c>
    </row>
    <row r="99" spans="1:10" x14ac:dyDescent="0.25">
      <c r="A99" s="3">
        <v>10551</v>
      </c>
      <c r="B99" s="4">
        <v>44892</v>
      </c>
      <c r="C99" t="s">
        <v>25</v>
      </c>
      <c r="D99" s="3">
        <v>9.9499999999999993</v>
      </c>
      <c r="E99" s="7">
        <v>202</v>
      </c>
      <c r="F99" s="7">
        <f t="shared" si="1"/>
        <v>2009.8999999999999</v>
      </c>
      <c r="G99" s="3" t="s">
        <v>36</v>
      </c>
      <c r="H99" s="3" t="s">
        <v>22</v>
      </c>
      <c r="I99" t="s">
        <v>38</v>
      </c>
      <c r="J99" t="s">
        <v>13</v>
      </c>
    </row>
    <row r="100" spans="1:10" x14ac:dyDescent="0.25">
      <c r="A100" s="3">
        <v>10552</v>
      </c>
      <c r="B100" s="4">
        <v>44892</v>
      </c>
      <c r="C100" t="s">
        <v>9</v>
      </c>
      <c r="D100" s="3">
        <v>3.49</v>
      </c>
      <c r="E100" s="7">
        <v>631</v>
      </c>
      <c r="F100" s="7">
        <f t="shared" si="1"/>
        <v>2202.19</v>
      </c>
      <c r="G100" s="3" t="s">
        <v>10</v>
      </c>
      <c r="H100" s="3" t="s">
        <v>22</v>
      </c>
      <c r="I100" t="s">
        <v>38</v>
      </c>
      <c r="J100" t="s">
        <v>13</v>
      </c>
    </row>
    <row r="101" spans="1:10" x14ac:dyDescent="0.25">
      <c r="A101" s="3">
        <v>10553</v>
      </c>
      <c r="B101" s="4">
        <v>44892</v>
      </c>
      <c r="C101" t="s">
        <v>14</v>
      </c>
      <c r="D101" s="3">
        <v>2.95</v>
      </c>
      <c r="E101" s="7">
        <v>746</v>
      </c>
      <c r="F101" s="7">
        <f t="shared" si="1"/>
        <v>2200.7000000000003</v>
      </c>
      <c r="G101" s="3" t="s">
        <v>10</v>
      </c>
      <c r="H101" s="3" t="s">
        <v>22</v>
      </c>
      <c r="I101" t="s">
        <v>38</v>
      </c>
      <c r="J101" t="s">
        <v>13</v>
      </c>
    </row>
    <row r="102" spans="1:10" x14ac:dyDescent="0.25">
      <c r="A102" s="3">
        <v>10554</v>
      </c>
      <c r="B102" s="4">
        <v>44892</v>
      </c>
      <c r="C102" t="s">
        <v>17</v>
      </c>
      <c r="D102" s="3">
        <v>4.99</v>
      </c>
      <c r="E102" s="7">
        <v>201</v>
      </c>
      <c r="F102" s="7">
        <f t="shared" si="1"/>
        <v>1002.99</v>
      </c>
      <c r="G102" s="3" t="s">
        <v>10</v>
      </c>
      <c r="H102" s="3" t="s">
        <v>22</v>
      </c>
      <c r="I102" t="s">
        <v>38</v>
      </c>
      <c r="J102" t="s">
        <v>13</v>
      </c>
    </row>
    <row r="103" spans="1:10" x14ac:dyDescent="0.25">
      <c r="A103" s="3">
        <v>10555</v>
      </c>
      <c r="B103" s="4">
        <v>44893</v>
      </c>
      <c r="C103" t="s">
        <v>21</v>
      </c>
      <c r="D103" s="3">
        <v>12.99</v>
      </c>
      <c r="E103" s="7">
        <v>478</v>
      </c>
      <c r="F103" s="7">
        <f t="shared" si="1"/>
        <v>6209.22</v>
      </c>
      <c r="G103" s="3" t="s">
        <v>10</v>
      </c>
      <c r="H103" s="3" t="s">
        <v>22</v>
      </c>
      <c r="I103" t="s">
        <v>38</v>
      </c>
      <c r="J103" t="s">
        <v>13</v>
      </c>
    </row>
    <row r="104" spans="1:10" x14ac:dyDescent="0.25">
      <c r="A104" s="3">
        <v>10556</v>
      </c>
      <c r="B104" s="4">
        <v>44893</v>
      </c>
      <c r="C104" t="s">
        <v>25</v>
      </c>
      <c r="D104" s="3">
        <v>9.9499999999999993</v>
      </c>
      <c r="E104" s="7">
        <v>202</v>
      </c>
      <c r="F104" s="7">
        <f t="shared" si="1"/>
        <v>2009.8999999999999</v>
      </c>
      <c r="G104" s="3" t="s">
        <v>10</v>
      </c>
      <c r="H104" s="3" t="s">
        <v>22</v>
      </c>
      <c r="I104" t="s">
        <v>38</v>
      </c>
      <c r="J104" t="s">
        <v>13</v>
      </c>
    </row>
    <row r="105" spans="1:10" x14ac:dyDescent="0.25">
      <c r="A105" s="3">
        <v>10557</v>
      </c>
      <c r="B105" s="4">
        <v>44893</v>
      </c>
      <c r="C105" t="s">
        <v>9</v>
      </c>
      <c r="D105" s="3">
        <v>3.49</v>
      </c>
      <c r="E105" s="7">
        <v>631</v>
      </c>
      <c r="F105" s="7">
        <f t="shared" si="1"/>
        <v>2202.19</v>
      </c>
      <c r="G105" s="3" t="s">
        <v>10</v>
      </c>
      <c r="H105" s="3" t="s">
        <v>22</v>
      </c>
      <c r="I105" t="s">
        <v>38</v>
      </c>
      <c r="J105" t="s">
        <v>13</v>
      </c>
    </row>
    <row r="106" spans="1:10" x14ac:dyDescent="0.25">
      <c r="A106" s="3">
        <v>10558</v>
      </c>
      <c r="B106" s="4">
        <v>44893</v>
      </c>
      <c r="C106" t="s">
        <v>14</v>
      </c>
      <c r="D106" s="3">
        <v>2.95</v>
      </c>
      <c r="E106" s="7">
        <v>678</v>
      </c>
      <c r="F106" s="7">
        <f t="shared" si="1"/>
        <v>2000.1000000000001</v>
      </c>
      <c r="G106" s="3" t="s">
        <v>10</v>
      </c>
      <c r="H106" s="3" t="s">
        <v>22</v>
      </c>
      <c r="I106" t="s">
        <v>38</v>
      </c>
      <c r="J106" t="s">
        <v>13</v>
      </c>
    </row>
    <row r="107" spans="1:10" x14ac:dyDescent="0.25">
      <c r="A107" s="3">
        <v>10559</v>
      </c>
      <c r="B107" s="4">
        <v>44893</v>
      </c>
      <c r="C107" t="s">
        <v>17</v>
      </c>
      <c r="D107" s="3">
        <v>4.99</v>
      </c>
      <c r="E107" s="7">
        <v>201</v>
      </c>
      <c r="F107" s="7">
        <f t="shared" si="1"/>
        <v>1002.99</v>
      </c>
      <c r="G107" s="3" t="s">
        <v>10</v>
      </c>
      <c r="H107" s="3" t="s">
        <v>22</v>
      </c>
      <c r="I107" t="s">
        <v>38</v>
      </c>
      <c r="J107" t="s">
        <v>13</v>
      </c>
    </row>
    <row r="108" spans="1:10" x14ac:dyDescent="0.25">
      <c r="A108" s="3">
        <v>10560</v>
      </c>
      <c r="B108" s="4">
        <v>44894</v>
      </c>
      <c r="C108" t="s">
        <v>21</v>
      </c>
      <c r="D108" s="3">
        <v>12.99</v>
      </c>
      <c r="E108" s="7">
        <v>478</v>
      </c>
      <c r="F108" s="7">
        <f t="shared" si="1"/>
        <v>6209.22</v>
      </c>
      <c r="G108" s="3" t="s">
        <v>10</v>
      </c>
      <c r="H108" s="3" t="s">
        <v>22</v>
      </c>
      <c r="I108" t="s">
        <v>38</v>
      </c>
      <c r="J108" t="s">
        <v>13</v>
      </c>
    </row>
    <row r="109" spans="1:10" x14ac:dyDescent="0.25">
      <c r="A109" s="3">
        <v>10561</v>
      </c>
      <c r="B109" s="4">
        <v>44894</v>
      </c>
      <c r="C109" t="s">
        <v>25</v>
      </c>
      <c r="D109" s="3">
        <v>9.9499999999999993</v>
      </c>
      <c r="E109" s="7">
        <v>202</v>
      </c>
      <c r="F109" s="7">
        <f t="shared" si="1"/>
        <v>2009.8999999999999</v>
      </c>
      <c r="G109" s="3" t="s">
        <v>10</v>
      </c>
      <c r="H109" s="3" t="s">
        <v>22</v>
      </c>
      <c r="I109" t="s">
        <v>38</v>
      </c>
      <c r="J109" t="s">
        <v>13</v>
      </c>
    </row>
    <row r="110" spans="1:10" x14ac:dyDescent="0.25">
      <c r="A110" s="3">
        <v>10562</v>
      </c>
      <c r="B110" s="4">
        <v>44894</v>
      </c>
      <c r="C110" t="s">
        <v>9</v>
      </c>
      <c r="D110" s="3">
        <v>3.49</v>
      </c>
      <c r="E110" s="7">
        <v>631</v>
      </c>
      <c r="F110" s="7">
        <f t="shared" si="1"/>
        <v>2202.19</v>
      </c>
      <c r="G110" s="3" t="s">
        <v>10</v>
      </c>
      <c r="H110" s="3" t="s">
        <v>22</v>
      </c>
      <c r="I110" t="s">
        <v>38</v>
      </c>
      <c r="J110" t="s">
        <v>13</v>
      </c>
    </row>
    <row r="111" spans="1:10" x14ac:dyDescent="0.25">
      <c r="A111" s="3">
        <v>10563</v>
      </c>
      <c r="B111" s="4">
        <v>44894</v>
      </c>
      <c r="C111" t="s">
        <v>14</v>
      </c>
      <c r="D111" s="3">
        <v>2.95</v>
      </c>
      <c r="E111" s="7">
        <v>678</v>
      </c>
      <c r="F111" s="7">
        <f t="shared" si="1"/>
        <v>2000.1000000000001</v>
      </c>
      <c r="G111" s="3" t="s">
        <v>10</v>
      </c>
      <c r="H111" s="3" t="s">
        <v>22</v>
      </c>
      <c r="I111" t="s">
        <v>38</v>
      </c>
      <c r="J111" t="s">
        <v>13</v>
      </c>
    </row>
    <row r="112" spans="1:10" x14ac:dyDescent="0.25">
      <c r="A112" s="3">
        <v>10564</v>
      </c>
      <c r="B112" s="4">
        <v>44894</v>
      </c>
      <c r="C112" t="s">
        <v>17</v>
      </c>
      <c r="D112" s="3">
        <v>4.99</v>
      </c>
      <c r="E112" s="7">
        <v>201</v>
      </c>
      <c r="F112" s="7">
        <f t="shared" si="1"/>
        <v>1002.99</v>
      </c>
      <c r="G112" s="3" t="s">
        <v>10</v>
      </c>
      <c r="H112" s="3" t="s">
        <v>22</v>
      </c>
      <c r="I112" t="s">
        <v>38</v>
      </c>
      <c r="J112" t="s">
        <v>13</v>
      </c>
    </row>
    <row r="113" spans="1:10" x14ac:dyDescent="0.25">
      <c r="A113" s="3">
        <v>10565</v>
      </c>
      <c r="B113" s="4">
        <v>44895</v>
      </c>
      <c r="C113" t="s">
        <v>21</v>
      </c>
      <c r="D113" s="3">
        <v>12.99</v>
      </c>
      <c r="E113" s="7">
        <v>493</v>
      </c>
      <c r="F113" s="7">
        <f t="shared" si="1"/>
        <v>6404.07</v>
      </c>
      <c r="G113" s="3" t="s">
        <v>10</v>
      </c>
      <c r="H113" s="3" t="s">
        <v>22</v>
      </c>
      <c r="I113" t="s">
        <v>38</v>
      </c>
      <c r="J113" t="s">
        <v>13</v>
      </c>
    </row>
    <row r="114" spans="1:10" x14ac:dyDescent="0.25">
      <c r="A114" s="3">
        <v>10566</v>
      </c>
      <c r="B114" s="4">
        <v>44895</v>
      </c>
      <c r="C114" t="s">
        <v>25</v>
      </c>
      <c r="D114" s="3">
        <v>9.9499999999999993</v>
      </c>
      <c r="E114" s="7">
        <v>202</v>
      </c>
      <c r="F114" s="7">
        <f t="shared" si="1"/>
        <v>2009.8999999999999</v>
      </c>
      <c r="G114" s="3" t="s">
        <v>10</v>
      </c>
      <c r="H114" s="3" t="s">
        <v>22</v>
      </c>
      <c r="I114" t="s">
        <v>38</v>
      </c>
      <c r="J114" t="s">
        <v>13</v>
      </c>
    </row>
    <row r="115" spans="1:10" x14ac:dyDescent="0.25">
      <c r="A115" s="3">
        <v>10567</v>
      </c>
      <c r="B115" s="4">
        <v>44895</v>
      </c>
      <c r="C115" t="s">
        <v>9</v>
      </c>
      <c r="D115" s="3">
        <v>3.49</v>
      </c>
      <c r="E115" s="7">
        <v>631</v>
      </c>
      <c r="F115" s="7">
        <f t="shared" si="1"/>
        <v>2202.19</v>
      </c>
      <c r="G115" s="3" t="s">
        <v>10</v>
      </c>
      <c r="H115" s="3" t="s">
        <v>22</v>
      </c>
      <c r="I115" t="s">
        <v>38</v>
      </c>
      <c r="J115" t="s">
        <v>13</v>
      </c>
    </row>
    <row r="116" spans="1:10" x14ac:dyDescent="0.25">
      <c r="A116" s="3">
        <v>10568</v>
      </c>
      <c r="B116" s="4">
        <v>44895</v>
      </c>
      <c r="C116" t="s">
        <v>14</v>
      </c>
      <c r="D116" s="3">
        <v>2.95</v>
      </c>
      <c r="E116" s="7">
        <v>678</v>
      </c>
      <c r="F116" s="7">
        <f t="shared" si="1"/>
        <v>2000.1000000000001</v>
      </c>
      <c r="G116" s="3" t="s">
        <v>10</v>
      </c>
      <c r="H116" s="3" t="s">
        <v>22</v>
      </c>
      <c r="I116" t="s">
        <v>38</v>
      </c>
      <c r="J116" t="s">
        <v>13</v>
      </c>
    </row>
    <row r="117" spans="1:10" x14ac:dyDescent="0.25">
      <c r="A117" s="3">
        <v>10569</v>
      </c>
      <c r="B117" s="4">
        <v>44895</v>
      </c>
      <c r="C117" t="s">
        <v>17</v>
      </c>
      <c r="D117" s="3">
        <v>4.99</v>
      </c>
      <c r="E117" s="7">
        <v>201</v>
      </c>
      <c r="F117" s="7">
        <f t="shared" si="1"/>
        <v>1002.99</v>
      </c>
      <c r="G117" s="3" t="s">
        <v>10</v>
      </c>
      <c r="H117" s="3" t="s">
        <v>22</v>
      </c>
      <c r="I117" t="s">
        <v>38</v>
      </c>
      <c r="J117" t="s">
        <v>13</v>
      </c>
    </row>
    <row r="118" spans="1:10" x14ac:dyDescent="0.25">
      <c r="A118" s="3">
        <v>10570</v>
      </c>
      <c r="B118" s="4">
        <v>44896</v>
      </c>
      <c r="C118" t="s">
        <v>21</v>
      </c>
      <c r="D118" s="3">
        <v>12.99</v>
      </c>
      <c r="E118" s="7">
        <v>493</v>
      </c>
      <c r="F118" s="7">
        <f t="shared" si="1"/>
        <v>6404.07</v>
      </c>
      <c r="G118" s="3" t="s">
        <v>10</v>
      </c>
      <c r="H118" s="3" t="s">
        <v>22</v>
      </c>
      <c r="I118" t="s">
        <v>38</v>
      </c>
      <c r="J118" t="s">
        <v>13</v>
      </c>
    </row>
    <row r="119" spans="1:10" x14ac:dyDescent="0.25">
      <c r="A119" s="3">
        <v>10571</v>
      </c>
      <c r="B119" s="4">
        <v>44896</v>
      </c>
      <c r="C119" t="s">
        <v>25</v>
      </c>
      <c r="D119" s="3">
        <v>9.9499999999999993</v>
      </c>
      <c r="E119" s="7">
        <v>202</v>
      </c>
      <c r="F119" s="7">
        <f t="shared" si="1"/>
        <v>2009.8999999999999</v>
      </c>
      <c r="G119" s="3" t="s">
        <v>10</v>
      </c>
      <c r="H119" s="3" t="s">
        <v>22</v>
      </c>
      <c r="I119" t="s">
        <v>38</v>
      </c>
      <c r="J119" t="s">
        <v>13</v>
      </c>
    </row>
    <row r="120" spans="1:10" x14ac:dyDescent="0.25">
      <c r="A120" s="3">
        <v>10572</v>
      </c>
      <c r="B120" s="4">
        <v>44896</v>
      </c>
      <c r="C120" t="s">
        <v>9</v>
      </c>
      <c r="D120" s="3">
        <v>3.49</v>
      </c>
      <c r="E120" s="7">
        <v>574</v>
      </c>
      <c r="F120" s="7">
        <f t="shared" si="1"/>
        <v>2003.2600000000002</v>
      </c>
      <c r="G120" s="3" t="s">
        <v>10</v>
      </c>
      <c r="H120" s="3" t="s">
        <v>22</v>
      </c>
      <c r="I120" t="s">
        <v>28</v>
      </c>
      <c r="J120" t="s">
        <v>27</v>
      </c>
    </row>
    <row r="121" spans="1:10" x14ac:dyDescent="0.25">
      <c r="A121" s="3">
        <v>10573</v>
      </c>
      <c r="B121" s="4">
        <v>44896</v>
      </c>
      <c r="C121" t="s">
        <v>14</v>
      </c>
      <c r="D121" s="3">
        <v>2.95</v>
      </c>
      <c r="E121" s="7">
        <v>678</v>
      </c>
      <c r="F121" s="7">
        <f t="shared" si="1"/>
        <v>2000.1000000000001</v>
      </c>
      <c r="G121" s="3" t="s">
        <v>10</v>
      </c>
      <c r="H121" s="3" t="s">
        <v>22</v>
      </c>
      <c r="I121" t="s">
        <v>28</v>
      </c>
      <c r="J121" t="s">
        <v>27</v>
      </c>
    </row>
    <row r="122" spans="1:10" x14ac:dyDescent="0.25">
      <c r="A122" s="3">
        <v>10574</v>
      </c>
      <c r="B122" s="4">
        <v>44896</v>
      </c>
      <c r="C122" t="s">
        <v>17</v>
      </c>
      <c r="D122" s="3">
        <v>4.99</v>
      </c>
      <c r="E122" s="7">
        <v>201</v>
      </c>
      <c r="F122" s="7">
        <f t="shared" si="1"/>
        <v>1002.99</v>
      </c>
      <c r="G122" s="3" t="s">
        <v>10</v>
      </c>
      <c r="H122" s="3" t="s">
        <v>22</v>
      </c>
      <c r="I122" t="s">
        <v>28</v>
      </c>
      <c r="J122" t="s">
        <v>27</v>
      </c>
    </row>
    <row r="123" spans="1:10" x14ac:dyDescent="0.25">
      <c r="A123" s="3">
        <v>10575</v>
      </c>
      <c r="B123" s="4">
        <v>44897</v>
      </c>
      <c r="C123" t="s">
        <v>21</v>
      </c>
      <c r="D123" s="3">
        <v>12.99</v>
      </c>
      <c r="E123" s="7">
        <v>524</v>
      </c>
      <c r="F123" s="7">
        <f t="shared" si="1"/>
        <v>6806.76</v>
      </c>
      <c r="G123" s="3" t="s">
        <v>10</v>
      </c>
      <c r="H123" s="3" t="s">
        <v>22</v>
      </c>
      <c r="I123" t="s">
        <v>28</v>
      </c>
      <c r="J123" t="s">
        <v>27</v>
      </c>
    </row>
    <row r="124" spans="1:10" x14ac:dyDescent="0.25">
      <c r="A124" s="3">
        <v>10576</v>
      </c>
      <c r="B124" s="4">
        <v>44897</v>
      </c>
      <c r="C124" t="s">
        <v>25</v>
      </c>
      <c r="D124" s="3">
        <v>9.9499999999999993</v>
      </c>
      <c r="E124" s="7">
        <v>202</v>
      </c>
      <c r="F124" s="7">
        <f t="shared" si="1"/>
        <v>2009.8999999999999</v>
      </c>
      <c r="G124" s="3" t="s">
        <v>10</v>
      </c>
      <c r="H124" s="3" t="s">
        <v>22</v>
      </c>
      <c r="I124" t="s">
        <v>28</v>
      </c>
      <c r="J124" t="s">
        <v>27</v>
      </c>
    </row>
    <row r="125" spans="1:10" x14ac:dyDescent="0.25">
      <c r="A125" s="3">
        <v>10577</v>
      </c>
      <c r="B125" s="4">
        <v>44897</v>
      </c>
      <c r="C125" t="s">
        <v>9</v>
      </c>
      <c r="D125" s="3">
        <v>3.49</v>
      </c>
      <c r="E125" s="7">
        <v>631</v>
      </c>
      <c r="F125" s="7">
        <f t="shared" si="1"/>
        <v>2202.19</v>
      </c>
      <c r="G125" s="3" t="s">
        <v>10</v>
      </c>
      <c r="H125" s="3" t="s">
        <v>22</v>
      </c>
      <c r="I125" t="s">
        <v>28</v>
      </c>
      <c r="J125" t="s">
        <v>27</v>
      </c>
    </row>
    <row r="126" spans="1:10" x14ac:dyDescent="0.25">
      <c r="A126" s="3">
        <v>10578</v>
      </c>
      <c r="B126" s="4">
        <v>44897</v>
      </c>
      <c r="C126" t="s">
        <v>14</v>
      </c>
      <c r="D126" s="3">
        <v>2.95</v>
      </c>
      <c r="E126" s="7">
        <v>678</v>
      </c>
      <c r="F126" s="7">
        <f t="shared" si="1"/>
        <v>2000.1000000000001</v>
      </c>
      <c r="G126" s="3" t="s">
        <v>10</v>
      </c>
      <c r="H126" s="3" t="s">
        <v>22</v>
      </c>
      <c r="I126" t="s">
        <v>28</v>
      </c>
      <c r="J126" t="s">
        <v>27</v>
      </c>
    </row>
    <row r="127" spans="1:10" x14ac:dyDescent="0.25">
      <c r="A127" s="3">
        <v>10579</v>
      </c>
      <c r="B127" s="4">
        <v>44897</v>
      </c>
      <c r="C127" t="s">
        <v>17</v>
      </c>
      <c r="D127" s="3">
        <v>4.99</v>
      </c>
      <c r="E127" s="7">
        <v>201</v>
      </c>
      <c r="F127" s="7">
        <f t="shared" si="1"/>
        <v>1002.99</v>
      </c>
      <c r="G127" s="3" t="s">
        <v>10</v>
      </c>
      <c r="H127" s="3" t="s">
        <v>22</v>
      </c>
      <c r="I127" t="s">
        <v>28</v>
      </c>
      <c r="J127" t="s">
        <v>27</v>
      </c>
    </row>
    <row r="128" spans="1:10" x14ac:dyDescent="0.25">
      <c r="A128" s="3">
        <v>10580</v>
      </c>
      <c r="B128" s="4">
        <v>44898</v>
      </c>
      <c r="C128" t="s">
        <v>21</v>
      </c>
      <c r="D128" s="3">
        <v>12.99</v>
      </c>
      <c r="E128" s="7">
        <v>524</v>
      </c>
      <c r="F128" s="7">
        <f t="shared" si="1"/>
        <v>6806.76</v>
      </c>
      <c r="G128" s="3" t="s">
        <v>10</v>
      </c>
      <c r="H128" s="3" t="s">
        <v>22</v>
      </c>
      <c r="I128" t="s">
        <v>28</v>
      </c>
      <c r="J128" t="s">
        <v>27</v>
      </c>
    </row>
    <row r="129" spans="1:10" x14ac:dyDescent="0.25">
      <c r="A129" s="3">
        <v>10581</v>
      </c>
      <c r="B129" s="4">
        <v>44898</v>
      </c>
      <c r="C129" t="s">
        <v>25</v>
      </c>
      <c r="D129" s="3">
        <v>9.9499999999999993</v>
      </c>
      <c r="E129" s="7">
        <v>202</v>
      </c>
      <c r="F129" s="7">
        <f t="shared" si="1"/>
        <v>2009.8999999999999</v>
      </c>
      <c r="G129" s="3" t="s">
        <v>10</v>
      </c>
      <c r="H129" s="3" t="s">
        <v>22</v>
      </c>
      <c r="I129" t="s">
        <v>28</v>
      </c>
      <c r="J129" t="s">
        <v>27</v>
      </c>
    </row>
    <row r="130" spans="1:10" x14ac:dyDescent="0.25">
      <c r="A130" s="3">
        <v>10582</v>
      </c>
      <c r="B130" s="4">
        <v>44898</v>
      </c>
      <c r="C130" t="s">
        <v>9</v>
      </c>
      <c r="D130" s="3">
        <v>3.49</v>
      </c>
      <c r="E130" s="7">
        <v>631</v>
      </c>
      <c r="F130" s="7">
        <f t="shared" si="1"/>
        <v>2202.19</v>
      </c>
      <c r="G130" s="3" t="s">
        <v>10</v>
      </c>
      <c r="H130" s="3" t="s">
        <v>22</v>
      </c>
      <c r="I130" t="s">
        <v>38</v>
      </c>
      <c r="J130" t="s">
        <v>13</v>
      </c>
    </row>
    <row r="131" spans="1:10" x14ac:dyDescent="0.25">
      <c r="A131" s="3">
        <v>10583</v>
      </c>
      <c r="B131" s="4">
        <v>44898</v>
      </c>
      <c r="C131" t="s">
        <v>14</v>
      </c>
      <c r="D131" s="3">
        <v>2.95</v>
      </c>
      <c r="E131" s="7">
        <v>678</v>
      </c>
      <c r="F131" s="7">
        <f t="shared" ref="F131:F194" si="2">E131*D131</f>
        <v>2000.1000000000001</v>
      </c>
      <c r="G131" s="3" t="s">
        <v>10</v>
      </c>
      <c r="H131" s="3" t="s">
        <v>22</v>
      </c>
      <c r="I131" t="s">
        <v>38</v>
      </c>
      <c r="J131" t="s">
        <v>13</v>
      </c>
    </row>
    <row r="132" spans="1:10" x14ac:dyDescent="0.25">
      <c r="A132" s="3">
        <v>10584</v>
      </c>
      <c r="B132" s="4">
        <v>44898</v>
      </c>
      <c r="C132" t="s">
        <v>17</v>
      </c>
      <c r="D132" s="3">
        <v>4.99</v>
      </c>
      <c r="E132" s="7">
        <v>201</v>
      </c>
      <c r="F132" s="7">
        <f t="shared" si="2"/>
        <v>1002.99</v>
      </c>
      <c r="G132" s="3" t="s">
        <v>10</v>
      </c>
      <c r="H132" s="3" t="s">
        <v>22</v>
      </c>
      <c r="I132" t="s">
        <v>38</v>
      </c>
      <c r="J132" t="s">
        <v>13</v>
      </c>
    </row>
    <row r="133" spans="1:10" x14ac:dyDescent="0.25">
      <c r="A133" s="3">
        <v>10585</v>
      </c>
      <c r="B133" s="4">
        <v>44899</v>
      </c>
      <c r="C133" t="s">
        <v>21</v>
      </c>
      <c r="D133" s="3">
        <v>12.99</v>
      </c>
      <c r="E133" s="7">
        <v>539</v>
      </c>
      <c r="F133" s="7">
        <f t="shared" si="2"/>
        <v>7001.61</v>
      </c>
      <c r="G133" s="3" t="s">
        <v>10</v>
      </c>
      <c r="H133" s="3" t="s">
        <v>22</v>
      </c>
      <c r="I133" t="s">
        <v>38</v>
      </c>
      <c r="J133" t="s">
        <v>13</v>
      </c>
    </row>
    <row r="134" spans="1:10" x14ac:dyDescent="0.25">
      <c r="A134" s="3">
        <v>10586</v>
      </c>
      <c r="B134" s="4">
        <v>44899</v>
      </c>
      <c r="C134" t="s">
        <v>25</v>
      </c>
      <c r="D134" s="3">
        <v>9.9499999999999993</v>
      </c>
      <c r="E134" s="7">
        <v>202</v>
      </c>
      <c r="F134" s="7">
        <f t="shared" si="2"/>
        <v>2009.8999999999999</v>
      </c>
      <c r="G134" s="3" t="s">
        <v>10</v>
      </c>
      <c r="H134" s="3" t="s">
        <v>22</v>
      </c>
      <c r="I134" t="s">
        <v>38</v>
      </c>
      <c r="J134" t="s">
        <v>13</v>
      </c>
    </row>
    <row r="135" spans="1:10" x14ac:dyDescent="0.25">
      <c r="A135" s="3">
        <v>10590</v>
      </c>
      <c r="B135" s="4">
        <v>44900</v>
      </c>
      <c r="C135" t="s">
        <v>21</v>
      </c>
      <c r="D135" s="3">
        <v>12.99</v>
      </c>
      <c r="E135" s="7">
        <v>555</v>
      </c>
      <c r="F135" s="7">
        <f t="shared" si="2"/>
        <v>7209.45</v>
      </c>
      <c r="G135" s="3" t="s">
        <v>10</v>
      </c>
      <c r="H135" s="3" t="s">
        <v>22</v>
      </c>
      <c r="I135" t="s">
        <v>38</v>
      </c>
      <c r="J135" t="s">
        <v>13</v>
      </c>
    </row>
    <row r="136" spans="1:10" x14ac:dyDescent="0.25">
      <c r="A136" s="3">
        <v>10591</v>
      </c>
      <c r="B136" s="4">
        <v>44900</v>
      </c>
      <c r="C136" t="s">
        <v>25</v>
      </c>
      <c r="D136" s="3">
        <v>9.9499999999999993</v>
      </c>
      <c r="E136" s="7">
        <v>202</v>
      </c>
      <c r="F136" s="7">
        <f t="shared" si="2"/>
        <v>2009.8999999999999</v>
      </c>
      <c r="G136" s="3" t="s">
        <v>10</v>
      </c>
      <c r="H136" s="3" t="s">
        <v>22</v>
      </c>
      <c r="I136" t="s">
        <v>38</v>
      </c>
      <c r="J136" t="s">
        <v>13</v>
      </c>
    </row>
    <row r="137" spans="1:10" x14ac:dyDescent="0.25">
      <c r="A137" s="3">
        <v>10592</v>
      </c>
      <c r="B137" s="4">
        <v>44900</v>
      </c>
      <c r="C137" t="s">
        <v>9</v>
      </c>
      <c r="D137" s="3">
        <v>3.49</v>
      </c>
      <c r="E137" s="7">
        <v>574</v>
      </c>
      <c r="F137" s="7">
        <f t="shared" si="2"/>
        <v>2003.2600000000002</v>
      </c>
      <c r="G137" s="3" t="s">
        <v>10</v>
      </c>
      <c r="H137" s="3" t="s">
        <v>22</v>
      </c>
      <c r="I137" t="s">
        <v>38</v>
      </c>
      <c r="J137" t="s">
        <v>13</v>
      </c>
    </row>
    <row r="138" spans="1:10" x14ac:dyDescent="0.25">
      <c r="A138" s="3">
        <v>10593</v>
      </c>
      <c r="B138" s="4">
        <v>44900</v>
      </c>
      <c r="C138" t="s">
        <v>14</v>
      </c>
      <c r="D138" s="3">
        <v>2.95</v>
      </c>
      <c r="E138" s="7">
        <v>678</v>
      </c>
      <c r="F138" s="7">
        <f t="shared" si="2"/>
        <v>2000.1000000000001</v>
      </c>
      <c r="G138" s="3" t="s">
        <v>10</v>
      </c>
      <c r="H138" s="3" t="s">
        <v>22</v>
      </c>
      <c r="I138" t="s">
        <v>38</v>
      </c>
      <c r="J138" t="s">
        <v>13</v>
      </c>
    </row>
    <row r="139" spans="1:10" x14ac:dyDescent="0.25">
      <c r="A139" s="3">
        <v>10594</v>
      </c>
      <c r="B139" s="4">
        <v>44900</v>
      </c>
      <c r="C139" t="s">
        <v>17</v>
      </c>
      <c r="D139" s="3">
        <v>4.99</v>
      </c>
      <c r="E139" s="7">
        <v>201</v>
      </c>
      <c r="F139" s="7">
        <f t="shared" si="2"/>
        <v>1002.99</v>
      </c>
      <c r="G139" s="3" t="s">
        <v>10</v>
      </c>
      <c r="H139" s="3" t="s">
        <v>22</v>
      </c>
      <c r="I139" t="s">
        <v>38</v>
      </c>
      <c r="J139" t="s">
        <v>13</v>
      </c>
    </row>
    <row r="140" spans="1:10" x14ac:dyDescent="0.25">
      <c r="A140" s="3">
        <v>10595</v>
      </c>
      <c r="B140" s="4">
        <v>44901</v>
      </c>
      <c r="C140" t="s">
        <v>21</v>
      </c>
      <c r="D140" s="3">
        <v>12.99</v>
      </c>
      <c r="E140" s="7">
        <v>539</v>
      </c>
      <c r="F140" s="7">
        <f t="shared" si="2"/>
        <v>7001.61</v>
      </c>
      <c r="G140" s="3" t="s">
        <v>10</v>
      </c>
      <c r="H140" s="3" t="s">
        <v>22</v>
      </c>
      <c r="I140" t="s">
        <v>38</v>
      </c>
      <c r="J140" t="s">
        <v>13</v>
      </c>
    </row>
    <row r="141" spans="1:10" x14ac:dyDescent="0.25">
      <c r="A141" s="3">
        <v>10596</v>
      </c>
      <c r="B141" s="4">
        <v>44901</v>
      </c>
      <c r="C141" t="s">
        <v>25</v>
      </c>
      <c r="D141" s="3">
        <v>9.9499999999999993</v>
      </c>
      <c r="E141" s="7">
        <v>202</v>
      </c>
      <c r="F141" s="7">
        <f t="shared" si="2"/>
        <v>2009.8999999999999</v>
      </c>
      <c r="G141" s="3" t="s">
        <v>10</v>
      </c>
      <c r="H141" s="3" t="s">
        <v>22</v>
      </c>
      <c r="I141" t="s">
        <v>38</v>
      </c>
      <c r="J141" t="s">
        <v>13</v>
      </c>
    </row>
    <row r="142" spans="1:10" x14ac:dyDescent="0.25">
      <c r="A142" s="3">
        <v>10597</v>
      </c>
      <c r="B142" s="4">
        <v>44901</v>
      </c>
      <c r="C142" t="s">
        <v>9</v>
      </c>
      <c r="D142" s="3">
        <v>3.49</v>
      </c>
      <c r="E142" s="7">
        <v>574</v>
      </c>
      <c r="F142" s="7">
        <f t="shared" si="2"/>
        <v>2003.2600000000002</v>
      </c>
      <c r="G142" s="3" t="s">
        <v>10</v>
      </c>
      <c r="H142" s="3" t="s">
        <v>22</v>
      </c>
      <c r="I142" t="s">
        <v>38</v>
      </c>
      <c r="J142" t="s">
        <v>13</v>
      </c>
    </row>
    <row r="143" spans="1:10" x14ac:dyDescent="0.25">
      <c r="A143" s="3">
        <v>10598</v>
      </c>
      <c r="B143" s="4">
        <v>44901</v>
      </c>
      <c r="C143" t="s">
        <v>14</v>
      </c>
      <c r="D143" s="3">
        <v>2.95</v>
      </c>
      <c r="E143" s="7">
        <v>678</v>
      </c>
      <c r="F143" s="7">
        <f t="shared" si="2"/>
        <v>2000.1000000000001</v>
      </c>
      <c r="G143" s="3" t="s">
        <v>10</v>
      </c>
      <c r="H143" s="3" t="s">
        <v>22</v>
      </c>
      <c r="I143" t="s">
        <v>38</v>
      </c>
      <c r="J143" t="s">
        <v>13</v>
      </c>
    </row>
    <row r="144" spans="1:10" x14ac:dyDescent="0.25">
      <c r="A144" s="3">
        <v>10599</v>
      </c>
      <c r="B144" s="4">
        <v>44901</v>
      </c>
      <c r="C144" t="s">
        <v>17</v>
      </c>
      <c r="D144" s="3">
        <v>4.99</v>
      </c>
      <c r="E144" s="7">
        <v>201</v>
      </c>
      <c r="F144" s="7">
        <f t="shared" si="2"/>
        <v>1002.99</v>
      </c>
      <c r="G144" s="3" t="s">
        <v>10</v>
      </c>
      <c r="H144" s="3" t="s">
        <v>22</v>
      </c>
      <c r="I144" t="s">
        <v>38</v>
      </c>
      <c r="J144" t="s">
        <v>13</v>
      </c>
    </row>
    <row r="145" spans="1:10" x14ac:dyDescent="0.25">
      <c r="A145" s="3">
        <v>10600</v>
      </c>
      <c r="B145" s="4">
        <v>44902</v>
      </c>
      <c r="C145" t="s">
        <v>21</v>
      </c>
      <c r="D145" s="3">
        <v>12.99</v>
      </c>
      <c r="E145" s="7">
        <v>524</v>
      </c>
      <c r="F145" s="7">
        <f t="shared" si="2"/>
        <v>6806.76</v>
      </c>
      <c r="G145" s="3" t="s">
        <v>10</v>
      </c>
      <c r="H145" s="3" t="s">
        <v>22</v>
      </c>
      <c r="I145" t="s">
        <v>38</v>
      </c>
      <c r="J145" t="s">
        <v>13</v>
      </c>
    </row>
    <row r="146" spans="1:10" x14ac:dyDescent="0.25">
      <c r="A146" s="3">
        <v>10601</v>
      </c>
      <c r="B146" s="4">
        <v>44902</v>
      </c>
      <c r="C146" t="s">
        <v>25</v>
      </c>
      <c r="D146" s="3">
        <v>9.9499999999999993</v>
      </c>
      <c r="E146" s="7">
        <v>202</v>
      </c>
      <c r="F146" s="7">
        <f t="shared" si="2"/>
        <v>2009.8999999999999</v>
      </c>
      <c r="G146" s="3" t="s">
        <v>10</v>
      </c>
      <c r="H146" s="3" t="s">
        <v>22</v>
      </c>
      <c r="I146" t="s">
        <v>38</v>
      </c>
      <c r="J146" t="s">
        <v>13</v>
      </c>
    </row>
    <row r="147" spans="1:10" x14ac:dyDescent="0.25">
      <c r="A147" s="3">
        <v>10602</v>
      </c>
      <c r="B147" s="4">
        <v>44902</v>
      </c>
      <c r="C147" t="s">
        <v>9</v>
      </c>
      <c r="D147" s="3">
        <v>3.49</v>
      </c>
      <c r="E147" s="7">
        <v>631</v>
      </c>
      <c r="F147" s="7">
        <f t="shared" si="2"/>
        <v>2202.19</v>
      </c>
      <c r="G147" s="3" t="s">
        <v>10</v>
      </c>
      <c r="H147" s="3" t="s">
        <v>37</v>
      </c>
      <c r="I147" t="s">
        <v>38</v>
      </c>
      <c r="J147" t="s">
        <v>13</v>
      </c>
    </row>
    <row r="148" spans="1:10" x14ac:dyDescent="0.25">
      <c r="A148" s="3">
        <v>10603</v>
      </c>
      <c r="B148" s="4">
        <v>44902</v>
      </c>
      <c r="C148" t="s">
        <v>14</v>
      </c>
      <c r="D148" s="3">
        <v>2.95</v>
      </c>
      <c r="E148" s="7">
        <v>678</v>
      </c>
      <c r="F148" s="7">
        <f t="shared" si="2"/>
        <v>2000.1000000000001</v>
      </c>
      <c r="G148" s="3" t="s">
        <v>10</v>
      </c>
      <c r="H148" s="3" t="s">
        <v>37</v>
      </c>
      <c r="I148" t="s">
        <v>38</v>
      </c>
      <c r="J148" t="s">
        <v>13</v>
      </c>
    </row>
    <row r="149" spans="1:10" x14ac:dyDescent="0.25">
      <c r="A149" s="3">
        <v>10604</v>
      </c>
      <c r="B149" s="4">
        <v>44902</v>
      </c>
      <c r="C149" t="s">
        <v>17</v>
      </c>
      <c r="D149" s="3">
        <v>4.99</v>
      </c>
      <c r="E149" s="7">
        <v>201</v>
      </c>
      <c r="F149" s="7">
        <f t="shared" si="2"/>
        <v>1002.99</v>
      </c>
      <c r="G149" s="3" t="s">
        <v>10</v>
      </c>
      <c r="H149" s="3" t="s">
        <v>37</v>
      </c>
      <c r="I149" t="s">
        <v>38</v>
      </c>
      <c r="J149" t="s">
        <v>13</v>
      </c>
    </row>
    <row r="150" spans="1:10" x14ac:dyDescent="0.25">
      <c r="A150" s="3">
        <v>10605</v>
      </c>
      <c r="B150" s="4">
        <v>44903</v>
      </c>
      <c r="C150" t="s">
        <v>21</v>
      </c>
      <c r="D150" s="3">
        <v>12.99</v>
      </c>
      <c r="E150" s="7">
        <v>539</v>
      </c>
      <c r="F150" s="7">
        <f t="shared" si="2"/>
        <v>7001.61</v>
      </c>
      <c r="G150" s="3" t="s">
        <v>10</v>
      </c>
      <c r="H150" s="3" t="s">
        <v>37</v>
      </c>
      <c r="I150" t="s">
        <v>38</v>
      </c>
      <c r="J150" t="s">
        <v>13</v>
      </c>
    </row>
    <row r="151" spans="1:10" x14ac:dyDescent="0.25">
      <c r="A151" s="3">
        <v>10606</v>
      </c>
      <c r="B151" s="4">
        <v>44903</v>
      </c>
      <c r="C151" t="s">
        <v>25</v>
      </c>
      <c r="D151" s="3">
        <v>9.9499999999999993</v>
      </c>
      <c r="E151" s="7">
        <v>202</v>
      </c>
      <c r="F151" s="7">
        <f t="shared" si="2"/>
        <v>2009.8999999999999</v>
      </c>
      <c r="G151" s="3" t="s">
        <v>10</v>
      </c>
      <c r="H151" s="3" t="s">
        <v>37</v>
      </c>
      <c r="I151" t="s">
        <v>38</v>
      </c>
      <c r="J151" t="s">
        <v>13</v>
      </c>
    </row>
    <row r="152" spans="1:10" x14ac:dyDescent="0.25">
      <c r="A152" s="3">
        <v>10607</v>
      </c>
      <c r="B152" s="4">
        <v>44903</v>
      </c>
      <c r="C152" t="s">
        <v>9</v>
      </c>
      <c r="D152" s="3">
        <v>3.49</v>
      </c>
      <c r="E152" s="7">
        <v>631</v>
      </c>
      <c r="F152" s="7">
        <f t="shared" si="2"/>
        <v>2202.19</v>
      </c>
      <c r="G152" s="3" t="s">
        <v>10</v>
      </c>
      <c r="H152" s="3" t="s">
        <v>37</v>
      </c>
      <c r="I152" t="s">
        <v>38</v>
      </c>
      <c r="J152" t="s">
        <v>13</v>
      </c>
    </row>
    <row r="153" spans="1:10" x14ac:dyDescent="0.25">
      <c r="A153" s="3">
        <v>10608</v>
      </c>
      <c r="B153" s="4">
        <v>44903</v>
      </c>
      <c r="C153" t="s">
        <v>14</v>
      </c>
      <c r="D153" s="3">
        <v>2.95</v>
      </c>
      <c r="E153" s="7">
        <v>678</v>
      </c>
      <c r="F153" s="7">
        <f t="shared" si="2"/>
        <v>2000.1000000000001</v>
      </c>
      <c r="G153" s="3" t="s">
        <v>10</v>
      </c>
      <c r="H153" s="3" t="s">
        <v>11</v>
      </c>
      <c r="I153" t="s">
        <v>38</v>
      </c>
      <c r="J153" t="s">
        <v>13</v>
      </c>
    </row>
    <row r="154" spans="1:10" x14ac:dyDescent="0.25">
      <c r="A154" s="3">
        <v>10609</v>
      </c>
      <c r="B154" s="4">
        <v>44903</v>
      </c>
      <c r="C154" t="s">
        <v>17</v>
      </c>
      <c r="D154" s="3">
        <v>4.99</v>
      </c>
      <c r="E154" s="7">
        <v>201</v>
      </c>
      <c r="F154" s="7">
        <f t="shared" si="2"/>
        <v>1002.99</v>
      </c>
      <c r="G154" s="3" t="s">
        <v>10</v>
      </c>
      <c r="H154" s="3" t="s">
        <v>11</v>
      </c>
      <c r="I154" t="s">
        <v>38</v>
      </c>
      <c r="J154" t="s">
        <v>13</v>
      </c>
    </row>
    <row r="155" spans="1:10" x14ac:dyDescent="0.25">
      <c r="A155" s="3">
        <v>10610</v>
      </c>
      <c r="B155" s="4">
        <v>44904</v>
      </c>
      <c r="C155" t="s">
        <v>21</v>
      </c>
      <c r="D155" s="3">
        <v>12.99</v>
      </c>
      <c r="E155" s="7">
        <v>570</v>
      </c>
      <c r="F155" s="7">
        <f t="shared" si="2"/>
        <v>7404.3</v>
      </c>
      <c r="G155" s="3" t="s">
        <v>10</v>
      </c>
      <c r="H155" s="3" t="s">
        <v>11</v>
      </c>
      <c r="I155" t="s">
        <v>38</v>
      </c>
      <c r="J155" t="s">
        <v>13</v>
      </c>
    </row>
    <row r="156" spans="1:10" x14ac:dyDescent="0.25">
      <c r="A156" s="3">
        <v>10611</v>
      </c>
      <c r="B156" s="4">
        <v>44904</v>
      </c>
      <c r="C156" t="s">
        <v>25</v>
      </c>
      <c r="D156" s="3">
        <v>9.9499999999999993</v>
      </c>
      <c r="E156" s="7">
        <v>202</v>
      </c>
      <c r="F156" s="7">
        <f t="shared" si="2"/>
        <v>2009.8999999999999</v>
      </c>
      <c r="G156" s="3" t="s">
        <v>10</v>
      </c>
      <c r="H156" s="3" t="s">
        <v>11</v>
      </c>
      <c r="I156" t="s">
        <v>38</v>
      </c>
      <c r="J156" t="s">
        <v>13</v>
      </c>
    </row>
    <row r="157" spans="1:10" x14ac:dyDescent="0.25">
      <c r="A157" s="3">
        <v>10612</v>
      </c>
      <c r="B157" s="4">
        <v>44904</v>
      </c>
      <c r="C157" t="s">
        <v>9</v>
      </c>
      <c r="D157" s="3">
        <v>3.49</v>
      </c>
      <c r="E157" s="7">
        <v>631</v>
      </c>
      <c r="F157" s="7">
        <f t="shared" si="2"/>
        <v>2202.19</v>
      </c>
      <c r="G157" s="3" t="s">
        <v>10</v>
      </c>
      <c r="H157" s="3" t="s">
        <v>11</v>
      </c>
      <c r="I157" t="s">
        <v>38</v>
      </c>
      <c r="J157" t="s">
        <v>13</v>
      </c>
    </row>
    <row r="158" spans="1:10" x14ac:dyDescent="0.25">
      <c r="A158" s="3">
        <v>10613</v>
      </c>
      <c r="B158" s="4">
        <v>44904</v>
      </c>
      <c r="C158" t="s">
        <v>14</v>
      </c>
      <c r="D158" s="3">
        <v>2.95</v>
      </c>
      <c r="E158" s="7">
        <v>678</v>
      </c>
      <c r="F158" s="7">
        <f t="shared" si="2"/>
        <v>2000.1000000000001</v>
      </c>
      <c r="G158" s="3" t="s">
        <v>10</v>
      </c>
      <c r="H158" s="3" t="s">
        <v>11</v>
      </c>
      <c r="I158" t="s">
        <v>38</v>
      </c>
      <c r="J158" t="s">
        <v>13</v>
      </c>
    </row>
    <row r="159" spans="1:10" x14ac:dyDescent="0.25">
      <c r="A159" s="3">
        <v>10614</v>
      </c>
      <c r="B159" s="4">
        <v>44904</v>
      </c>
      <c r="C159" t="s">
        <v>17</v>
      </c>
      <c r="D159" s="3">
        <v>4.99</v>
      </c>
      <c r="E159" s="7">
        <v>201</v>
      </c>
      <c r="F159" s="7">
        <f t="shared" si="2"/>
        <v>1002.99</v>
      </c>
      <c r="G159" s="3" t="s">
        <v>10</v>
      </c>
      <c r="H159" s="3" t="s">
        <v>11</v>
      </c>
      <c r="I159" t="s">
        <v>38</v>
      </c>
      <c r="J159" t="s">
        <v>13</v>
      </c>
    </row>
    <row r="160" spans="1:10" x14ac:dyDescent="0.25">
      <c r="A160" s="3">
        <v>10615</v>
      </c>
      <c r="B160" s="4">
        <v>44905</v>
      </c>
      <c r="C160" t="s">
        <v>21</v>
      </c>
      <c r="D160" s="3">
        <v>12.99</v>
      </c>
      <c r="E160" s="7">
        <v>570</v>
      </c>
      <c r="F160" s="7">
        <f t="shared" si="2"/>
        <v>7404.3</v>
      </c>
      <c r="G160" s="3" t="s">
        <v>10</v>
      </c>
      <c r="H160" s="3" t="s">
        <v>11</v>
      </c>
      <c r="I160" t="s">
        <v>38</v>
      </c>
      <c r="J160" t="s">
        <v>13</v>
      </c>
    </row>
    <row r="161" spans="1:10" x14ac:dyDescent="0.25">
      <c r="A161" s="3">
        <v>10616</v>
      </c>
      <c r="B161" s="4">
        <v>44905</v>
      </c>
      <c r="C161" t="s">
        <v>25</v>
      </c>
      <c r="D161" s="3">
        <v>9.9499999999999993</v>
      </c>
      <c r="E161" s="7">
        <v>202</v>
      </c>
      <c r="F161" s="7">
        <f t="shared" si="2"/>
        <v>2009.8999999999999</v>
      </c>
      <c r="G161" s="3" t="s">
        <v>10</v>
      </c>
      <c r="H161" s="3" t="s">
        <v>11</v>
      </c>
      <c r="I161" t="s">
        <v>38</v>
      </c>
      <c r="J161" t="s">
        <v>13</v>
      </c>
    </row>
    <row r="162" spans="1:10" x14ac:dyDescent="0.25">
      <c r="A162" s="3">
        <v>10617</v>
      </c>
      <c r="B162" s="4">
        <v>44905</v>
      </c>
      <c r="C162" t="s">
        <v>9</v>
      </c>
      <c r="D162" s="3">
        <v>3.49</v>
      </c>
      <c r="E162" s="7">
        <v>631</v>
      </c>
      <c r="F162" s="7">
        <f t="shared" si="2"/>
        <v>2202.19</v>
      </c>
      <c r="G162" s="3" t="s">
        <v>10</v>
      </c>
      <c r="H162" s="3" t="s">
        <v>11</v>
      </c>
      <c r="I162" t="s">
        <v>38</v>
      </c>
      <c r="J162" t="s">
        <v>13</v>
      </c>
    </row>
    <row r="163" spans="1:10" x14ac:dyDescent="0.25">
      <c r="A163" s="3">
        <v>10618</v>
      </c>
      <c r="B163" s="4">
        <v>44905</v>
      </c>
      <c r="C163" t="s">
        <v>14</v>
      </c>
      <c r="D163" s="3">
        <v>2.95</v>
      </c>
      <c r="E163" s="7">
        <v>678</v>
      </c>
      <c r="F163" s="7">
        <f t="shared" si="2"/>
        <v>2000.1000000000001</v>
      </c>
      <c r="G163" s="3" t="s">
        <v>10</v>
      </c>
      <c r="H163" s="3" t="s">
        <v>11</v>
      </c>
      <c r="I163" t="s">
        <v>38</v>
      </c>
      <c r="J163" t="s">
        <v>13</v>
      </c>
    </row>
    <row r="164" spans="1:10" x14ac:dyDescent="0.25">
      <c r="A164" s="3">
        <v>10619</v>
      </c>
      <c r="B164" s="4">
        <v>44905</v>
      </c>
      <c r="C164" t="s">
        <v>17</v>
      </c>
      <c r="D164" s="3">
        <v>4.99</v>
      </c>
      <c r="E164" s="7">
        <v>201</v>
      </c>
      <c r="F164" s="7">
        <f t="shared" si="2"/>
        <v>1002.99</v>
      </c>
      <c r="G164" s="3" t="s">
        <v>10</v>
      </c>
      <c r="H164" s="3" t="s">
        <v>11</v>
      </c>
      <c r="I164" t="s">
        <v>38</v>
      </c>
      <c r="J164" t="s">
        <v>13</v>
      </c>
    </row>
    <row r="165" spans="1:10" x14ac:dyDescent="0.25">
      <c r="A165" s="3">
        <v>10620</v>
      </c>
      <c r="B165" s="4">
        <v>44906</v>
      </c>
      <c r="C165" t="s">
        <v>21</v>
      </c>
      <c r="D165" s="3">
        <v>12.99</v>
      </c>
      <c r="E165" s="7">
        <v>586</v>
      </c>
      <c r="F165" s="7">
        <f t="shared" si="2"/>
        <v>7612.14</v>
      </c>
      <c r="G165" s="3" t="s">
        <v>10</v>
      </c>
      <c r="H165" s="3" t="s">
        <v>11</v>
      </c>
      <c r="I165" t="s">
        <v>38</v>
      </c>
      <c r="J165" t="s">
        <v>13</v>
      </c>
    </row>
    <row r="166" spans="1:10" x14ac:dyDescent="0.25">
      <c r="A166" s="3">
        <v>10621</v>
      </c>
      <c r="B166" s="4">
        <v>44906</v>
      </c>
      <c r="C166" t="s">
        <v>25</v>
      </c>
      <c r="D166" s="3">
        <v>9.9499999999999993</v>
      </c>
      <c r="E166" s="7">
        <v>202</v>
      </c>
      <c r="F166" s="7">
        <f t="shared" si="2"/>
        <v>2009.8999999999999</v>
      </c>
      <c r="G166" s="3" t="s">
        <v>10</v>
      </c>
      <c r="H166" s="3" t="s">
        <v>11</v>
      </c>
      <c r="I166" t="s">
        <v>38</v>
      </c>
      <c r="J166" t="s">
        <v>13</v>
      </c>
    </row>
    <row r="167" spans="1:10" x14ac:dyDescent="0.25">
      <c r="A167" s="3">
        <v>10622</v>
      </c>
      <c r="B167" s="4">
        <v>44906</v>
      </c>
      <c r="C167" t="s">
        <v>9</v>
      </c>
      <c r="D167" s="3">
        <v>3.49</v>
      </c>
      <c r="E167" s="7">
        <v>631</v>
      </c>
      <c r="F167" s="7">
        <f t="shared" si="2"/>
        <v>2202.19</v>
      </c>
      <c r="G167" s="3" t="s">
        <v>10</v>
      </c>
      <c r="H167" s="3" t="s">
        <v>11</v>
      </c>
      <c r="I167" t="s">
        <v>38</v>
      </c>
      <c r="J167" t="s">
        <v>13</v>
      </c>
    </row>
    <row r="168" spans="1:10" x14ac:dyDescent="0.25">
      <c r="A168" s="3">
        <v>10623</v>
      </c>
      <c r="B168" s="4">
        <v>44906</v>
      </c>
      <c r="C168" t="s">
        <v>14</v>
      </c>
      <c r="D168" s="3">
        <v>2.95</v>
      </c>
      <c r="E168" s="7">
        <v>746</v>
      </c>
      <c r="F168" s="7">
        <f t="shared" si="2"/>
        <v>2200.7000000000003</v>
      </c>
      <c r="G168" s="3" t="s">
        <v>10</v>
      </c>
      <c r="H168" s="3" t="s">
        <v>11</v>
      </c>
      <c r="I168" t="s">
        <v>38</v>
      </c>
      <c r="J168" t="s">
        <v>13</v>
      </c>
    </row>
    <row r="169" spans="1:10" x14ac:dyDescent="0.25">
      <c r="A169" s="3">
        <v>10624</v>
      </c>
      <c r="B169" s="4">
        <v>44906</v>
      </c>
      <c r="C169" t="s">
        <v>17</v>
      </c>
      <c r="D169" s="3">
        <v>4.99</v>
      </c>
      <c r="E169" s="7">
        <v>201</v>
      </c>
      <c r="F169" s="7">
        <f t="shared" si="2"/>
        <v>1002.99</v>
      </c>
      <c r="G169" s="3" t="s">
        <v>10</v>
      </c>
      <c r="H169" s="3" t="s">
        <v>11</v>
      </c>
      <c r="I169" t="s">
        <v>38</v>
      </c>
      <c r="J169" t="s">
        <v>13</v>
      </c>
    </row>
    <row r="170" spans="1:10" x14ac:dyDescent="0.25">
      <c r="A170" s="3">
        <v>10625</v>
      </c>
      <c r="B170" s="4">
        <v>44907</v>
      </c>
      <c r="C170" t="s">
        <v>21</v>
      </c>
      <c r="D170" s="3">
        <v>12.99</v>
      </c>
      <c r="E170" s="7">
        <v>570</v>
      </c>
      <c r="F170" s="7">
        <f t="shared" si="2"/>
        <v>7404.3</v>
      </c>
      <c r="G170" s="3" t="s">
        <v>10</v>
      </c>
      <c r="H170" s="3" t="s">
        <v>11</v>
      </c>
      <c r="I170" t="s">
        <v>38</v>
      </c>
      <c r="J170" t="s">
        <v>13</v>
      </c>
    </row>
    <row r="171" spans="1:10" x14ac:dyDescent="0.25">
      <c r="A171" s="3">
        <v>10626</v>
      </c>
      <c r="B171" s="4">
        <v>44907</v>
      </c>
      <c r="C171" t="s">
        <v>25</v>
      </c>
      <c r="D171" s="3">
        <v>9.9499999999999993</v>
      </c>
      <c r="E171" s="7">
        <v>202</v>
      </c>
      <c r="F171" s="7">
        <f t="shared" si="2"/>
        <v>2009.8999999999999</v>
      </c>
      <c r="G171" s="3" t="s">
        <v>10</v>
      </c>
      <c r="H171" s="3" t="s">
        <v>11</v>
      </c>
      <c r="I171" t="s">
        <v>38</v>
      </c>
      <c r="J171" t="s">
        <v>13</v>
      </c>
    </row>
    <row r="172" spans="1:10" x14ac:dyDescent="0.25">
      <c r="A172" s="3">
        <v>10627</v>
      </c>
      <c r="B172" s="4">
        <v>44907</v>
      </c>
      <c r="C172" t="s">
        <v>9</v>
      </c>
      <c r="D172" s="3">
        <v>3.49</v>
      </c>
      <c r="E172" s="7">
        <v>631</v>
      </c>
      <c r="F172" s="7">
        <f t="shared" si="2"/>
        <v>2202.19</v>
      </c>
      <c r="G172" s="3" t="s">
        <v>10</v>
      </c>
      <c r="H172" s="3" t="s">
        <v>11</v>
      </c>
      <c r="I172" t="s">
        <v>38</v>
      </c>
      <c r="J172" t="s">
        <v>13</v>
      </c>
    </row>
    <row r="173" spans="1:10" ht="15.75" x14ac:dyDescent="0.25">
      <c r="A173" s="3">
        <v>10628</v>
      </c>
      <c r="B173" s="4">
        <v>44907</v>
      </c>
      <c r="C173" t="s">
        <v>14</v>
      </c>
      <c r="D173" s="3">
        <v>2.95</v>
      </c>
      <c r="E173" s="7">
        <v>678</v>
      </c>
      <c r="F173" s="7">
        <f t="shared" si="2"/>
        <v>2000.1000000000001</v>
      </c>
      <c r="G173" s="3" t="s">
        <v>10</v>
      </c>
      <c r="H173" s="3" t="s">
        <v>11</v>
      </c>
      <c r="I173" s="6" t="s">
        <v>35</v>
      </c>
      <c r="J173" t="s">
        <v>20</v>
      </c>
    </row>
    <row r="174" spans="1:10" ht="15.75" x14ac:dyDescent="0.25">
      <c r="A174" s="3">
        <v>10629</v>
      </c>
      <c r="B174" s="4">
        <v>44907</v>
      </c>
      <c r="C174" t="s">
        <v>17</v>
      </c>
      <c r="D174" s="3">
        <v>4.99</v>
      </c>
      <c r="E174" s="7">
        <v>201</v>
      </c>
      <c r="F174" s="7">
        <f t="shared" si="2"/>
        <v>1002.99</v>
      </c>
      <c r="G174" s="3" t="s">
        <v>10</v>
      </c>
      <c r="H174" s="3" t="s">
        <v>11</v>
      </c>
      <c r="I174" s="6" t="s">
        <v>35</v>
      </c>
      <c r="J174" t="s">
        <v>20</v>
      </c>
    </row>
    <row r="175" spans="1:10" ht="15.75" x14ac:dyDescent="0.25">
      <c r="A175" s="3">
        <v>10630</v>
      </c>
      <c r="B175" s="4">
        <v>44908</v>
      </c>
      <c r="C175" t="s">
        <v>21</v>
      </c>
      <c r="D175" s="3">
        <v>12.99</v>
      </c>
      <c r="E175" s="7">
        <v>570</v>
      </c>
      <c r="F175" s="7">
        <f t="shared" si="2"/>
        <v>7404.3</v>
      </c>
      <c r="G175" s="3" t="s">
        <v>10</v>
      </c>
      <c r="H175" s="3" t="s">
        <v>37</v>
      </c>
      <c r="I175" s="6" t="s">
        <v>35</v>
      </c>
      <c r="J175" t="s">
        <v>20</v>
      </c>
    </row>
    <row r="176" spans="1:10" ht="15.75" x14ac:dyDescent="0.25">
      <c r="A176" s="3">
        <v>10631</v>
      </c>
      <c r="B176" s="4">
        <v>44908</v>
      </c>
      <c r="C176" t="s">
        <v>25</v>
      </c>
      <c r="D176" s="3">
        <v>9.9499999999999993</v>
      </c>
      <c r="E176" s="7">
        <v>202</v>
      </c>
      <c r="F176" s="7">
        <f t="shared" si="2"/>
        <v>2009.8999999999999</v>
      </c>
      <c r="G176" s="3" t="s">
        <v>10</v>
      </c>
      <c r="H176" s="3" t="s">
        <v>11</v>
      </c>
      <c r="I176" s="6" t="s">
        <v>35</v>
      </c>
      <c r="J176" t="s">
        <v>20</v>
      </c>
    </row>
    <row r="177" spans="1:10" ht="15.75" x14ac:dyDescent="0.25">
      <c r="A177" s="3">
        <v>10632</v>
      </c>
      <c r="B177" s="4">
        <v>44908</v>
      </c>
      <c r="C177" t="s">
        <v>9</v>
      </c>
      <c r="D177" s="3">
        <v>3.49</v>
      </c>
      <c r="E177" s="7">
        <v>631</v>
      </c>
      <c r="F177" s="7">
        <f t="shared" si="2"/>
        <v>2202.19</v>
      </c>
      <c r="G177" s="3" t="s">
        <v>10</v>
      </c>
      <c r="H177" s="3" t="s">
        <v>11</v>
      </c>
      <c r="I177" s="6" t="s">
        <v>35</v>
      </c>
      <c r="J177" t="s">
        <v>20</v>
      </c>
    </row>
    <row r="178" spans="1:10" ht="15.75" x14ac:dyDescent="0.25">
      <c r="A178" s="3">
        <v>10633</v>
      </c>
      <c r="B178" s="4">
        <v>44908</v>
      </c>
      <c r="C178" t="s">
        <v>14</v>
      </c>
      <c r="D178" s="3">
        <v>2.95</v>
      </c>
      <c r="E178" s="7">
        <v>678</v>
      </c>
      <c r="F178" s="7">
        <f t="shared" si="2"/>
        <v>2000.1000000000001</v>
      </c>
      <c r="G178" s="3" t="s">
        <v>10</v>
      </c>
      <c r="H178" s="3" t="s">
        <v>11</v>
      </c>
      <c r="I178" s="6" t="s">
        <v>35</v>
      </c>
      <c r="J178" t="s">
        <v>20</v>
      </c>
    </row>
    <row r="179" spans="1:10" ht="15.75" x14ac:dyDescent="0.25">
      <c r="A179" s="3">
        <v>10634</v>
      </c>
      <c r="B179" s="4">
        <v>44908</v>
      </c>
      <c r="C179" t="s">
        <v>17</v>
      </c>
      <c r="D179" s="3">
        <v>4.99</v>
      </c>
      <c r="E179" s="7">
        <v>201</v>
      </c>
      <c r="F179" s="7">
        <f t="shared" si="2"/>
        <v>1002.99</v>
      </c>
      <c r="G179" s="3" t="s">
        <v>10</v>
      </c>
      <c r="H179" s="3" t="s">
        <v>11</v>
      </c>
      <c r="I179" s="6" t="s">
        <v>35</v>
      </c>
      <c r="J179" t="s">
        <v>20</v>
      </c>
    </row>
    <row r="180" spans="1:10" ht="15.75" x14ac:dyDescent="0.25">
      <c r="A180" s="3">
        <v>10635</v>
      </c>
      <c r="B180" s="4">
        <v>44909</v>
      </c>
      <c r="C180" t="s">
        <v>21</v>
      </c>
      <c r="D180" s="3">
        <v>12.99</v>
      </c>
      <c r="E180" s="7">
        <v>555</v>
      </c>
      <c r="F180" s="7">
        <f t="shared" si="2"/>
        <v>7209.45</v>
      </c>
      <c r="G180" s="3" t="s">
        <v>10</v>
      </c>
      <c r="H180" s="3" t="s">
        <v>11</v>
      </c>
      <c r="I180" s="6" t="s">
        <v>35</v>
      </c>
      <c r="J180" t="s">
        <v>20</v>
      </c>
    </row>
    <row r="181" spans="1:10" ht="15.75" x14ac:dyDescent="0.25">
      <c r="A181" s="3">
        <v>10636</v>
      </c>
      <c r="B181" s="4">
        <v>44909</v>
      </c>
      <c r="C181" t="s">
        <v>25</v>
      </c>
      <c r="D181" s="3">
        <v>9.9499999999999993</v>
      </c>
      <c r="E181" s="7">
        <v>222</v>
      </c>
      <c r="F181" s="7">
        <f t="shared" si="2"/>
        <v>2208.8999999999996</v>
      </c>
      <c r="G181" s="3" t="s">
        <v>10</v>
      </c>
      <c r="H181" s="3" t="s">
        <v>11</v>
      </c>
      <c r="I181" s="6" t="s">
        <v>35</v>
      </c>
      <c r="J181" t="s">
        <v>20</v>
      </c>
    </row>
    <row r="182" spans="1:10" ht="15.75" x14ac:dyDescent="0.25">
      <c r="A182" s="3">
        <v>10637</v>
      </c>
      <c r="B182" s="4">
        <v>44909</v>
      </c>
      <c r="C182" t="s">
        <v>9</v>
      </c>
      <c r="D182" s="3">
        <v>3.49</v>
      </c>
      <c r="E182" s="7">
        <v>631</v>
      </c>
      <c r="F182" s="7">
        <f t="shared" si="2"/>
        <v>2202.19</v>
      </c>
      <c r="G182" s="3" t="s">
        <v>10</v>
      </c>
      <c r="H182" s="3" t="s">
        <v>11</v>
      </c>
      <c r="I182" s="6" t="s">
        <v>35</v>
      </c>
      <c r="J182" t="s">
        <v>20</v>
      </c>
    </row>
    <row r="183" spans="1:10" ht="15.75" x14ac:dyDescent="0.25">
      <c r="A183" s="3">
        <v>10638</v>
      </c>
      <c r="B183" s="4">
        <v>44909</v>
      </c>
      <c r="C183" t="s">
        <v>14</v>
      </c>
      <c r="D183" s="3">
        <v>2.95</v>
      </c>
      <c r="E183" s="7">
        <v>678</v>
      </c>
      <c r="F183" s="7">
        <f t="shared" si="2"/>
        <v>2000.1000000000001</v>
      </c>
      <c r="G183" s="3" t="s">
        <v>10</v>
      </c>
      <c r="H183" s="3" t="s">
        <v>11</v>
      </c>
      <c r="I183" s="6" t="s">
        <v>35</v>
      </c>
      <c r="J183" t="s">
        <v>20</v>
      </c>
    </row>
    <row r="184" spans="1:10" ht="15.75" x14ac:dyDescent="0.25">
      <c r="A184" s="3">
        <v>10639</v>
      </c>
      <c r="B184" s="4">
        <v>44909</v>
      </c>
      <c r="C184" t="s">
        <v>17</v>
      </c>
      <c r="D184" s="3">
        <v>4.99</v>
      </c>
      <c r="E184" s="7">
        <v>201</v>
      </c>
      <c r="F184" s="7">
        <f t="shared" si="2"/>
        <v>1002.99</v>
      </c>
      <c r="G184" s="3" t="s">
        <v>10</v>
      </c>
      <c r="H184" s="3" t="s">
        <v>11</v>
      </c>
      <c r="I184" s="6" t="s">
        <v>35</v>
      </c>
      <c r="J184" t="s">
        <v>20</v>
      </c>
    </row>
    <row r="185" spans="1:10" ht="15.75" x14ac:dyDescent="0.25">
      <c r="A185" s="3">
        <v>10640</v>
      </c>
      <c r="B185" s="4">
        <v>44910</v>
      </c>
      <c r="C185" t="s">
        <v>21</v>
      </c>
      <c r="D185" s="3">
        <v>12.99</v>
      </c>
      <c r="E185" s="7">
        <v>539</v>
      </c>
      <c r="F185" s="7">
        <f t="shared" si="2"/>
        <v>7001.61</v>
      </c>
      <c r="G185" s="3" t="s">
        <v>10</v>
      </c>
      <c r="H185" s="3" t="s">
        <v>11</v>
      </c>
      <c r="I185" s="6" t="s">
        <v>35</v>
      </c>
      <c r="J185" t="s">
        <v>20</v>
      </c>
    </row>
    <row r="186" spans="1:10" ht="15.75" x14ac:dyDescent="0.25">
      <c r="A186" s="3">
        <v>10641</v>
      </c>
      <c r="B186" s="4">
        <v>44910</v>
      </c>
      <c r="C186" t="s">
        <v>25</v>
      </c>
      <c r="D186" s="3">
        <v>9.9499999999999993</v>
      </c>
      <c r="E186" s="7">
        <v>222</v>
      </c>
      <c r="F186" s="7">
        <f t="shared" si="2"/>
        <v>2208.8999999999996</v>
      </c>
      <c r="G186" s="3" t="s">
        <v>10</v>
      </c>
      <c r="H186" s="3" t="s">
        <v>11</v>
      </c>
      <c r="I186" s="6" t="s">
        <v>35</v>
      </c>
      <c r="J186" t="s">
        <v>20</v>
      </c>
    </row>
    <row r="187" spans="1:10" ht="15.75" x14ac:dyDescent="0.25">
      <c r="A187" s="3">
        <v>10642</v>
      </c>
      <c r="B187" s="4">
        <v>44910</v>
      </c>
      <c r="C187" t="s">
        <v>9</v>
      </c>
      <c r="D187" s="3">
        <v>3.49</v>
      </c>
      <c r="E187" s="7">
        <v>631</v>
      </c>
      <c r="F187" s="7">
        <f t="shared" si="2"/>
        <v>2202.19</v>
      </c>
      <c r="G187" s="3" t="s">
        <v>10</v>
      </c>
      <c r="H187" s="3" t="s">
        <v>37</v>
      </c>
      <c r="I187" s="6" t="s">
        <v>35</v>
      </c>
      <c r="J187" t="s">
        <v>20</v>
      </c>
    </row>
    <row r="188" spans="1:10" ht="15.75" x14ac:dyDescent="0.25">
      <c r="A188" s="3">
        <v>10643</v>
      </c>
      <c r="B188" s="4">
        <v>44910</v>
      </c>
      <c r="C188" t="s">
        <v>14</v>
      </c>
      <c r="D188" s="3">
        <v>2.95</v>
      </c>
      <c r="E188" s="7">
        <v>678</v>
      </c>
      <c r="F188" s="7">
        <f t="shared" si="2"/>
        <v>2000.1000000000001</v>
      </c>
      <c r="G188" s="3" t="s">
        <v>10</v>
      </c>
      <c r="H188" s="3" t="s">
        <v>37</v>
      </c>
      <c r="I188" s="6" t="s">
        <v>35</v>
      </c>
      <c r="J188" t="s">
        <v>20</v>
      </c>
    </row>
    <row r="189" spans="1:10" ht="15.75" x14ac:dyDescent="0.25">
      <c r="A189" s="3">
        <v>10644</v>
      </c>
      <c r="B189" s="4">
        <v>44910</v>
      </c>
      <c r="C189" t="s">
        <v>17</v>
      </c>
      <c r="D189" s="3">
        <v>4.99</v>
      </c>
      <c r="E189" s="7">
        <v>201</v>
      </c>
      <c r="F189" s="7">
        <f t="shared" si="2"/>
        <v>1002.99</v>
      </c>
      <c r="G189" s="3" t="s">
        <v>10</v>
      </c>
      <c r="H189" s="3" t="s">
        <v>37</v>
      </c>
      <c r="I189" s="6" t="s">
        <v>35</v>
      </c>
      <c r="J189" t="s">
        <v>20</v>
      </c>
    </row>
    <row r="190" spans="1:10" ht="15.75" x14ac:dyDescent="0.25">
      <c r="A190" s="3">
        <v>10645</v>
      </c>
      <c r="B190" s="4">
        <v>44911</v>
      </c>
      <c r="C190" t="s">
        <v>21</v>
      </c>
      <c r="D190" s="3">
        <v>12.99</v>
      </c>
      <c r="E190" s="7">
        <v>570</v>
      </c>
      <c r="F190" s="7">
        <f t="shared" si="2"/>
        <v>7404.3</v>
      </c>
      <c r="G190" s="3" t="s">
        <v>10</v>
      </c>
      <c r="H190" s="3" t="s">
        <v>37</v>
      </c>
      <c r="I190" s="6" t="s">
        <v>35</v>
      </c>
      <c r="J190" t="s">
        <v>20</v>
      </c>
    </row>
    <row r="191" spans="1:10" ht="15.75" x14ac:dyDescent="0.25">
      <c r="A191" s="3">
        <v>10646</v>
      </c>
      <c r="B191" s="4">
        <v>44911</v>
      </c>
      <c r="C191" t="s">
        <v>25</v>
      </c>
      <c r="D191" s="3">
        <v>9.9499999999999993</v>
      </c>
      <c r="E191" s="7">
        <v>222</v>
      </c>
      <c r="F191" s="7">
        <f t="shared" si="2"/>
        <v>2208.8999999999996</v>
      </c>
      <c r="G191" s="3" t="s">
        <v>10</v>
      </c>
      <c r="H191" s="3" t="s">
        <v>37</v>
      </c>
      <c r="I191" s="6" t="s">
        <v>35</v>
      </c>
      <c r="J191" t="s">
        <v>20</v>
      </c>
    </row>
    <row r="192" spans="1:10" ht="15.75" x14ac:dyDescent="0.25">
      <c r="A192" s="3">
        <v>10647</v>
      </c>
      <c r="B192" s="4">
        <v>44911</v>
      </c>
      <c r="C192" t="s">
        <v>9</v>
      </c>
      <c r="D192" s="3">
        <v>3.49</v>
      </c>
      <c r="E192" s="7">
        <v>631</v>
      </c>
      <c r="F192" s="7">
        <f t="shared" si="2"/>
        <v>2202.19</v>
      </c>
      <c r="G192" s="3" t="s">
        <v>10</v>
      </c>
      <c r="H192" s="3" t="s">
        <v>11</v>
      </c>
      <c r="I192" s="6" t="s">
        <v>35</v>
      </c>
      <c r="J192" t="s">
        <v>20</v>
      </c>
    </row>
    <row r="193" spans="1:10" ht="15.75" x14ac:dyDescent="0.25">
      <c r="A193" s="3">
        <v>10648</v>
      </c>
      <c r="B193" s="4">
        <v>44911</v>
      </c>
      <c r="C193" t="s">
        <v>14</v>
      </c>
      <c r="D193" s="3">
        <v>2.95</v>
      </c>
      <c r="E193" s="7">
        <v>746</v>
      </c>
      <c r="F193" s="7">
        <f t="shared" si="2"/>
        <v>2200.7000000000003</v>
      </c>
      <c r="G193" s="3" t="s">
        <v>10</v>
      </c>
      <c r="H193" s="3" t="s">
        <v>11</v>
      </c>
      <c r="I193" s="6" t="s">
        <v>35</v>
      </c>
      <c r="J193" t="s">
        <v>20</v>
      </c>
    </row>
    <row r="194" spans="1:10" ht="15.75" x14ac:dyDescent="0.25">
      <c r="A194" s="3">
        <v>10649</v>
      </c>
      <c r="B194" s="4">
        <v>44911</v>
      </c>
      <c r="C194" t="s">
        <v>17</v>
      </c>
      <c r="D194" s="3">
        <v>4.99</v>
      </c>
      <c r="E194" s="7">
        <v>201</v>
      </c>
      <c r="F194" s="7">
        <f t="shared" si="2"/>
        <v>1002.99</v>
      </c>
      <c r="G194" s="3" t="s">
        <v>10</v>
      </c>
      <c r="H194" s="3" t="s">
        <v>11</v>
      </c>
      <c r="I194" s="6" t="s">
        <v>35</v>
      </c>
      <c r="J194" t="s">
        <v>20</v>
      </c>
    </row>
    <row r="195" spans="1:10" ht="15.75" x14ac:dyDescent="0.25">
      <c r="A195" s="3">
        <v>10650</v>
      </c>
      <c r="B195" s="4">
        <v>44912</v>
      </c>
      <c r="C195" t="s">
        <v>21</v>
      </c>
      <c r="D195" s="3">
        <v>12.99</v>
      </c>
      <c r="E195" s="7">
        <v>586</v>
      </c>
      <c r="F195" s="7">
        <f t="shared" ref="F195:F258" si="3">E195*D195</f>
        <v>7612.14</v>
      </c>
      <c r="G195" s="3" t="s">
        <v>10</v>
      </c>
      <c r="H195" s="3" t="s">
        <v>11</v>
      </c>
      <c r="I195" s="6" t="s">
        <v>35</v>
      </c>
      <c r="J195" t="s">
        <v>20</v>
      </c>
    </row>
    <row r="196" spans="1:10" ht="15.75" x14ac:dyDescent="0.25">
      <c r="A196" s="3">
        <v>10651</v>
      </c>
      <c r="B196" s="4">
        <v>44912</v>
      </c>
      <c r="C196" t="s">
        <v>25</v>
      </c>
      <c r="D196" s="3">
        <v>9.9499999999999993</v>
      </c>
      <c r="E196" s="7">
        <v>222</v>
      </c>
      <c r="F196" s="7">
        <f t="shared" si="3"/>
        <v>2208.8999999999996</v>
      </c>
      <c r="G196" s="3" t="s">
        <v>10</v>
      </c>
      <c r="H196" s="3" t="s">
        <v>11</v>
      </c>
      <c r="I196" s="6" t="s">
        <v>35</v>
      </c>
      <c r="J196" t="s">
        <v>20</v>
      </c>
    </row>
    <row r="197" spans="1:10" ht="15.75" x14ac:dyDescent="0.25">
      <c r="A197" s="3">
        <v>10652</v>
      </c>
      <c r="B197" s="4">
        <v>44912</v>
      </c>
      <c r="C197" t="s">
        <v>9</v>
      </c>
      <c r="D197" s="3">
        <v>3.49</v>
      </c>
      <c r="E197" s="7">
        <v>688</v>
      </c>
      <c r="F197" s="7">
        <f t="shared" si="3"/>
        <v>2401.1200000000003</v>
      </c>
      <c r="G197" s="3" t="s">
        <v>10</v>
      </c>
      <c r="H197" s="3" t="s">
        <v>11</v>
      </c>
      <c r="I197" s="6" t="s">
        <v>35</v>
      </c>
      <c r="J197" t="s">
        <v>20</v>
      </c>
    </row>
    <row r="198" spans="1:10" ht="15.75" x14ac:dyDescent="0.25">
      <c r="A198" s="3">
        <v>10653</v>
      </c>
      <c r="B198" s="4">
        <v>44912</v>
      </c>
      <c r="C198" t="s">
        <v>14</v>
      </c>
      <c r="D198" s="3">
        <v>2.95</v>
      </c>
      <c r="E198" s="7">
        <v>746</v>
      </c>
      <c r="F198" s="7">
        <f t="shared" si="3"/>
        <v>2200.7000000000003</v>
      </c>
      <c r="G198" s="3" t="s">
        <v>10</v>
      </c>
      <c r="H198" s="3" t="s">
        <v>11</v>
      </c>
      <c r="I198" s="6" t="s">
        <v>35</v>
      </c>
      <c r="J198" t="s">
        <v>20</v>
      </c>
    </row>
    <row r="199" spans="1:10" ht="15.75" x14ac:dyDescent="0.25">
      <c r="A199" s="3">
        <v>10654</v>
      </c>
      <c r="B199" s="4">
        <v>44912</v>
      </c>
      <c r="C199" t="s">
        <v>17</v>
      </c>
      <c r="D199" s="3">
        <v>4.99</v>
      </c>
      <c r="E199" s="7">
        <v>201</v>
      </c>
      <c r="F199" s="7">
        <f t="shared" si="3"/>
        <v>1002.99</v>
      </c>
      <c r="G199" s="3" t="s">
        <v>10</v>
      </c>
      <c r="H199" s="3" t="s">
        <v>11</v>
      </c>
      <c r="I199" s="6" t="s">
        <v>35</v>
      </c>
      <c r="J199" t="s">
        <v>20</v>
      </c>
    </row>
    <row r="200" spans="1:10" ht="15.75" x14ac:dyDescent="0.25">
      <c r="A200" s="3">
        <v>10655</v>
      </c>
      <c r="B200" s="4">
        <v>44913</v>
      </c>
      <c r="C200" t="s">
        <v>21</v>
      </c>
      <c r="D200" s="3">
        <v>12.99</v>
      </c>
      <c r="E200" s="7">
        <v>601</v>
      </c>
      <c r="F200" s="7">
        <f t="shared" si="3"/>
        <v>7806.99</v>
      </c>
      <c r="G200" s="3" t="s">
        <v>10</v>
      </c>
      <c r="H200" s="3" t="s">
        <v>11</v>
      </c>
      <c r="I200" s="6" t="s">
        <v>35</v>
      </c>
      <c r="J200" t="s">
        <v>20</v>
      </c>
    </row>
    <row r="201" spans="1:10" ht="15.75" x14ac:dyDescent="0.25">
      <c r="A201" s="3">
        <v>10656</v>
      </c>
      <c r="B201" s="4">
        <v>44913</v>
      </c>
      <c r="C201" t="s">
        <v>25</v>
      </c>
      <c r="D201" s="3">
        <v>9.9499999999999993</v>
      </c>
      <c r="E201" s="7">
        <v>222</v>
      </c>
      <c r="F201" s="7">
        <f t="shared" si="3"/>
        <v>2208.8999999999996</v>
      </c>
      <c r="G201" s="3" t="s">
        <v>10</v>
      </c>
      <c r="H201" s="3" t="s">
        <v>11</v>
      </c>
      <c r="I201" s="6" t="s">
        <v>35</v>
      </c>
      <c r="J201" t="s">
        <v>20</v>
      </c>
    </row>
    <row r="202" spans="1:10" ht="15.75" x14ac:dyDescent="0.25">
      <c r="A202" s="3">
        <v>10657</v>
      </c>
      <c r="B202" s="4">
        <v>44913</v>
      </c>
      <c r="C202" t="s">
        <v>9</v>
      </c>
      <c r="D202" s="3">
        <v>3.49</v>
      </c>
      <c r="E202" s="7">
        <v>688</v>
      </c>
      <c r="F202" s="7">
        <f t="shared" si="3"/>
        <v>2401.1200000000003</v>
      </c>
      <c r="G202" s="3" t="s">
        <v>10</v>
      </c>
      <c r="H202" s="3" t="s">
        <v>11</v>
      </c>
      <c r="I202" s="6" t="s">
        <v>35</v>
      </c>
      <c r="J202" t="s">
        <v>20</v>
      </c>
    </row>
    <row r="203" spans="1:10" ht="15.75" x14ac:dyDescent="0.25">
      <c r="A203" s="3">
        <v>10658</v>
      </c>
      <c r="B203" s="4">
        <v>44913</v>
      </c>
      <c r="C203" t="s">
        <v>14</v>
      </c>
      <c r="D203" s="3">
        <v>2.95</v>
      </c>
      <c r="E203" s="7">
        <v>746</v>
      </c>
      <c r="F203" s="7">
        <f t="shared" si="3"/>
        <v>2200.7000000000003</v>
      </c>
      <c r="G203" s="3" t="s">
        <v>10</v>
      </c>
      <c r="H203" s="3" t="s">
        <v>37</v>
      </c>
      <c r="I203" s="6" t="s">
        <v>35</v>
      </c>
      <c r="J203" t="s">
        <v>20</v>
      </c>
    </row>
    <row r="204" spans="1:10" ht="15.75" x14ac:dyDescent="0.25">
      <c r="A204" s="3">
        <v>10659</v>
      </c>
      <c r="B204" s="4">
        <v>44913</v>
      </c>
      <c r="C204" t="s">
        <v>17</v>
      </c>
      <c r="D204" s="3">
        <v>4.99</v>
      </c>
      <c r="E204" s="7">
        <v>201</v>
      </c>
      <c r="F204" s="7">
        <f t="shared" si="3"/>
        <v>1002.99</v>
      </c>
      <c r="G204" s="3" t="s">
        <v>10</v>
      </c>
      <c r="H204" s="3" t="s">
        <v>37</v>
      </c>
      <c r="I204" s="6" t="s">
        <v>35</v>
      </c>
      <c r="J204" t="s">
        <v>20</v>
      </c>
    </row>
    <row r="205" spans="1:10" ht="15.75" x14ac:dyDescent="0.25">
      <c r="A205" s="3">
        <v>10660</v>
      </c>
      <c r="B205" s="4">
        <v>44914</v>
      </c>
      <c r="C205" t="s">
        <v>21</v>
      </c>
      <c r="D205" s="3">
        <v>12.99</v>
      </c>
      <c r="E205" s="7">
        <v>632</v>
      </c>
      <c r="F205" s="7">
        <f t="shared" si="3"/>
        <v>8209.68</v>
      </c>
      <c r="G205" s="3" t="s">
        <v>18</v>
      </c>
      <c r="H205" s="3" t="s">
        <v>37</v>
      </c>
      <c r="I205" s="6" t="s">
        <v>35</v>
      </c>
      <c r="J205" t="s">
        <v>20</v>
      </c>
    </row>
    <row r="206" spans="1:10" ht="15.75" x14ac:dyDescent="0.25">
      <c r="A206" s="3">
        <v>10661</v>
      </c>
      <c r="B206" s="4">
        <v>44914</v>
      </c>
      <c r="C206" t="s">
        <v>25</v>
      </c>
      <c r="D206" s="3">
        <v>9.9499999999999993</v>
      </c>
      <c r="E206" s="7">
        <v>222</v>
      </c>
      <c r="F206" s="7">
        <f t="shared" si="3"/>
        <v>2208.8999999999996</v>
      </c>
      <c r="G206" s="3" t="s">
        <v>18</v>
      </c>
      <c r="H206" s="3" t="s">
        <v>37</v>
      </c>
      <c r="I206" s="6" t="s">
        <v>35</v>
      </c>
      <c r="J206" t="s">
        <v>20</v>
      </c>
    </row>
    <row r="207" spans="1:10" ht="15.75" x14ac:dyDescent="0.25">
      <c r="A207" s="3">
        <v>10662</v>
      </c>
      <c r="B207" s="4">
        <v>44914</v>
      </c>
      <c r="C207" t="s">
        <v>9</v>
      </c>
      <c r="D207" s="3">
        <v>3.49</v>
      </c>
      <c r="E207" s="7">
        <v>631</v>
      </c>
      <c r="F207" s="7">
        <f t="shared" si="3"/>
        <v>2202.19</v>
      </c>
      <c r="G207" s="3" t="s">
        <v>18</v>
      </c>
      <c r="H207" s="3" t="s">
        <v>37</v>
      </c>
      <c r="I207" s="6" t="s">
        <v>35</v>
      </c>
      <c r="J207" t="s">
        <v>20</v>
      </c>
    </row>
    <row r="208" spans="1:10" ht="15.75" x14ac:dyDescent="0.25">
      <c r="A208" s="3">
        <v>10663</v>
      </c>
      <c r="B208" s="4">
        <v>44914</v>
      </c>
      <c r="C208" t="s">
        <v>14</v>
      </c>
      <c r="D208" s="3">
        <v>2.95</v>
      </c>
      <c r="E208" s="7">
        <v>746</v>
      </c>
      <c r="F208" s="7">
        <f t="shared" si="3"/>
        <v>2200.7000000000003</v>
      </c>
      <c r="G208" s="3" t="s">
        <v>18</v>
      </c>
      <c r="H208" s="3" t="s">
        <v>37</v>
      </c>
      <c r="I208" s="6" t="s">
        <v>35</v>
      </c>
      <c r="J208" t="s">
        <v>20</v>
      </c>
    </row>
    <row r="209" spans="1:10" ht="15.75" x14ac:dyDescent="0.25">
      <c r="A209" s="3">
        <v>10664</v>
      </c>
      <c r="B209" s="4">
        <v>44914</v>
      </c>
      <c r="C209" t="s">
        <v>17</v>
      </c>
      <c r="D209" s="3">
        <v>4.99</v>
      </c>
      <c r="E209" s="7">
        <v>201</v>
      </c>
      <c r="F209" s="7">
        <f t="shared" si="3"/>
        <v>1002.99</v>
      </c>
      <c r="G209" s="3" t="s">
        <v>18</v>
      </c>
      <c r="H209" s="3" t="s">
        <v>37</v>
      </c>
      <c r="I209" s="6" t="s">
        <v>35</v>
      </c>
      <c r="J209" t="s">
        <v>20</v>
      </c>
    </row>
    <row r="210" spans="1:10" ht="15.75" x14ac:dyDescent="0.25">
      <c r="A210" s="3">
        <v>10665</v>
      </c>
      <c r="B210" s="4">
        <v>44915</v>
      </c>
      <c r="C210" t="s">
        <v>21</v>
      </c>
      <c r="D210" s="3">
        <v>12.99</v>
      </c>
      <c r="E210" s="7">
        <v>647</v>
      </c>
      <c r="F210" s="7">
        <f t="shared" si="3"/>
        <v>8404.5300000000007</v>
      </c>
      <c r="G210" s="3" t="s">
        <v>18</v>
      </c>
      <c r="H210" s="3" t="s">
        <v>37</v>
      </c>
      <c r="I210" s="6" t="s">
        <v>35</v>
      </c>
      <c r="J210" t="s">
        <v>20</v>
      </c>
    </row>
    <row r="211" spans="1:10" ht="15.75" x14ac:dyDescent="0.25">
      <c r="A211" s="3">
        <v>10666</v>
      </c>
      <c r="B211" s="4">
        <v>44915</v>
      </c>
      <c r="C211" t="s">
        <v>25</v>
      </c>
      <c r="D211" s="3">
        <v>9.9499999999999993</v>
      </c>
      <c r="E211" s="7">
        <v>222</v>
      </c>
      <c r="F211" s="7">
        <f t="shared" si="3"/>
        <v>2208.8999999999996</v>
      </c>
      <c r="G211" s="3" t="s">
        <v>18</v>
      </c>
      <c r="H211" s="3" t="s">
        <v>37</v>
      </c>
      <c r="I211" s="6" t="s">
        <v>35</v>
      </c>
      <c r="J211" t="s">
        <v>20</v>
      </c>
    </row>
    <row r="212" spans="1:10" ht="15.75" x14ac:dyDescent="0.25">
      <c r="A212" s="3">
        <v>10667</v>
      </c>
      <c r="B212" s="4">
        <v>44915</v>
      </c>
      <c r="C212" t="s">
        <v>9</v>
      </c>
      <c r="D212" s="3">
        <v>3.49</v>
      </c>
      <c r="E212" s="7">
        <v>631</v>
      </c>
      <c r="F212" s="7">
        <f t="shared" si="3"/>
        <v>2202.19</v>
      </c>
      <c r="G212" s="3" t="s">
        <v>18</v>
      </c>
      <c r="H212" s="3" t="s">
        <v>37</v>
      </c>
      <c r="I212" s="6" t="s">
        <v>35</v>
      </c>
      <c r="J212" t="s">
        <v>20</v>
      </c>
    </row>
    <row r="213" spans="1:10" ht="15.75" x14ac:dyDescent="0.25">
      <c r="A213" s="3">
        <v>10668</v>
      </c>
      <c r="B213" s="4">
        <v>44915</v>
      </c>
      <c r="C213" t="s">
        <v>14</v>
      </c>
      <c r="D213" s="3">
        <v>2.95</v>
      </c>
      <c r="E213" s="7">
        <v>746</v>
      </c>
      <c r="F213" s="7">
        <f t="shared" si="3"/>
        <v>2200.7000000000003</v>
      </c>
      <c r="G213" s="3" t="s">
        <v>18</v>
      </c>
      <c r="H213" s="3" t="s">
        <v>37</v>
      </c>
      <c r="I213" s="6" t="s">
        <v>35</v>
      </c>
      <c r="J213" t="s">
        <v>20</v>
      </c>
    </row>
    <row r="214" spans="1:10" ht="15.75" x14ac:dyDescent="0.25">
      <c r="A214" s="3">
        <v>10669</v>
      </c>
      <c r="B214" s="4">
        <v>44915</v>
      </c>
      <c r="C214" t="s">
        <v>17</v>
      </c>
      <c r="D214" s="3">
        <v>4.99</v>
      </c>
      <c r="E214" s="7">
        <v>201</v>
      </c>
      <c r="F214" s="7">
        <f t="shared" si="3"/>
        <v>1002.99</v>
      </c>
      <c r="G214" s="3" t="s">
        <v>18</v>
      </c>
      <c r="H214" s="3" t="s">
        <v>37</v>
      </c>
      <c r="I214" s="6" t="s">
        <v>35</v>
      </c>
      <c r="J214" t="s">
        <v>20</v>
      </c>
    </row>
    <row r="215" spans="1:10" ht="15.75" x14ac:dyDescent="0.25">
      <c r="A215" s="3">
        <v>10670</v>
      </c>
      <c r="B215" s="4">
        <v>44916</v>
      </c>
      <c r="C215" t="s">
        <v>21</v>
      </c>
      <c r="D215" s="3">
        <v>12.99</v>
      </c>
      <c r="E215" s="7">
        <v>678</v>
      </c>
      <c r="F215" s="7">
        <f t="shared" si="3"/>
        <v>8807.2199999999993</v>
      </c>
      <c r="G215" s="3" t="s">
        <v>18</v>
      </c>
      <c r="H215" s="3" t="s">
        <v>37</v>
      </c>
      <c r="I215" s="6" t="s">
        <v>35</v>
      </c>
      <c r="J215" t="s">
        <v>20</v>
      </c>
    </row>
    <row r="216" spans="1:10" ht="15.75" x14ac:dyDescent="0.25">
      <c r="A216" s="3">
        <v>10671</v>
      </c>
      <c r="B216" s="4">
        <v>44916</v>
      </c>
      <c r="C216" t="s">
        <v>25</v>
      </c>
      <c r="D216" s="3">
        <v>9.9499999999999993</v>
      </c>
      <c r="E216" s="7">
        <v>222</v>
      </c>
      <c r="F216" s="7">
        <f t="shared" si="3"/>
        <v>2208.8999999999996</v>
      </c>
      <c r="G216" s="3" t="s">
        <v>18</v>
      </c>
      <c r="H216" s="3" t="s">
        <v>37</v>
      </c>
      <c r="I216" s="6" t="s">
        <v>35</v>
      </c>
      <c r="J216" t="s">
        <v>20</v>
      </c>
    </row>
    <row r="217" spans="1:10" ht="15.75" x14ac:dyDescent="0.25">
      <c r="A217" s="3">
        <v>10672</v>
      </c>
      <c r="B217" s="4">
        <v>44916</v>
      </c>
      <c r="C217" t="s">
        <v>9</v>
      </c>
      <c r="D217" s="3">
        <v>3.49</v>
      </c>
      <c r="E217" s="7">
        <v>631</v>
      </c>
      <c r="F217" s="7">
        <f t="shared" si="3"/>
        <v>2202.19</v>
      </c>
      <c r="G217" s="3" t="s">
        <v>18</v>
      </c>
      <c r="H217" s="3" t="s">
        <v>37</v>
      </c>
      <c r="I217" s="6" t="s">
        <v>35</v>
      </c>
      <c r="J217" t="s">
        <v>20</v>
      </c>
    </row>
    <row r="218" spans="1:10" ht="15.75" x14ac:dyDescent="0.25">
      <c r="A218" s="3">
        <v>10673</v>
      </c>
      <c r="B218" s="4">
        <v>44916</v>
      </c>
      <c r="C218" t="s">
        <v>14</v>
      </c>
      <c r="D218" s="3">
        <v>2.95</v>
      </c>
      <c r="E218" s="7">
        <v>746</v>
      </c>
      <c r="F218" s="7">
        <f t="shared" si="3"/>
        <v>2200.7000000000003</v>
      </c>
      <c r="G218" s="3" t="s">
        <v>18</v>
      </c>
      <c r="H218" s="3" t="s">
        <v>37</v>
      </c>
      <c r="I218" s="6" t="s">
        <v>35</v>
      </c>
      <c r="J218" t="s">
        <v>20</v>
      </c>
    </row>
    <row r="219" spans="1:10" ht="15.75" x14ac:dyDescent="0.25">
      <c r="A219" s="3">
        <v>10674</v>
      </c>
      <c r="B219" s="4">
        <v>44916</v>
      </c>
      <c r="C219" t="s">
        <v>17</v>
      </c>
      <c r="D219" s="3">
        <v>4.99</v>
      </c>
      <c r="E219" s="7">
        <v>201</v>
      </c>
      <c r="F219" s="7">
        <f t="shared" si="3"/>
        <v>1002.99</v>
      </c>
      <c r="G219" s="3" t="s">
        <v>18</v>
      </c>
      <c r="H219" s="3" t="s">
        <v>37</v>
      </c>
      <c r="I219" s="6" t="s">
        <v>35</v>
      </c>
      <c r="J219" t="s">
        <v>20</v>
      </c>
    </row>
    <row r="220" spans="1:10" ht="15.75" x14ac:dyDescent="0.25">
      <c r="A220" s="3">
        <v>10675</v>
      </c>
      <c r="B220" s="4">
        <v>44917</v>
      </c>
      <c r="C220" t="s">
        <v>21</v>
      </c>
      <c r="D220" s="3">
        <v>12.99</v>
      </c>
      <c r="E220" s="7">
        <v>678</v>
      </c>
      <c r="F220" s="7">
        <f t="shared" si="3"/>
        <v>8807.2199999999993</v>
      </c>
      <c r="G220" s="3" t="s">
        <v>18</v>
      </c>
      <c r="H220" s="3" t="s">
        <v>37</v>
      </c>
      <c r="I220" s="6" t="s">
        <v>35</v>
      </c>
      <c r="J220" t="s">
        <v>20</v>
      </c>
    </row>
    <row r="221" spans="1:10" ht="15.75" x14ac:dyDescent="0.25">
      <c r="A221" s="3">
        <v>10676</v>
      </c>
      <c r="B221" s="4">
        <v>44917</v>
      </c>
      <c r="C221" t="s">
        <v>25</v>
      </c>
      <c r="D221" s="3">
        <v>9.9499999999999993</v>
      </c>
      <c r="E221" s="7">
        <v>242</v>
      </c>
      <c r="F221" s="7">
        <f t="shared" si="3"/>
        <v>2407.8999999999996</v>
      </c>
      <c r="G221" s="3" t="s">
        <v>18</v>
      </c>
      <c r="H221" s="3" t="s">
        <v>37</v>
      </c>
      <c r="I221" s="6" t="s">
        <v>35</v>
      </c>
      <c r="J221" t="s">
        <v>20</v>
      </c>
    </row>
    <row r="222" spans="1:10" ht="15.75" x14ac:dyDescent="0.25">
      <c r="A222" s="3">
        <v>10677</v>
      </c>
      <c r="B222" s="4">
        <v>44917</v>
      </c>
      <c r="C222" t="s">
        <v>9</v>
      </c>
      <c r="D222" s="3">
        <v>3.49</v>
      </c>
      <c r="E222" s="7">
        <v>631</v>
      </c>
      <c r="F222" s="7">
        <f t="shared" si="3"/>
        <v>2202.19</v>
      </c>
      <c r="G222" s="3" t="s">
        <v>18</v>
      </c>
      <c r="H222" s="3" t="s">
        <v>37</v>
      </c>
      <c r="I222" s="6" t="s">
        <v>35</v>
      </c>
      <c r="J222" t="s">
        <v>20</v>
      </c>
    </row>
    <row r="223" spans="1:10" ht="15.75" x14ac:dyDescent="0.25">
      <c r="A223" s="3">
        <v>10678</v>
      </c>
      <c r="B223" s="4">
        <v>44917</v>
      </c>
      <c r="C223" t="s">
        <v>14</v>
      </c>
      <c r="D223" s="3">
        <v>2.95</v>
      </c>
      <c r="E223" s="7">
        <v>746</v>
      </c>
      <c r="F223" s="7">
        <f t="shared" si="3"/>
        <v>2200.7000000000003</v>
      </c>
      <c r="G223" s="3" t="s">
        <v>18</v>
      </c>
      <c r="H223" s="3" t="s">
        <v>37</v>
      </c>
      <c r="I223" s="6" t="s">
        <v>35</v>
      </c>
      <c r="J223" t="s">
        <v>20</v>
      </c>
    </row>
    <row r="224" spans="1:10" ht="15.75" x14ac:dyDescent="0.25">
      <c r="A224" s="3">
        <v>10679</v>
      </c>
      <c r="B224" s="4">
        <v>44917</v>
      </c>
      <c r="C224" t="s">
        <v>17</v>
      </c>
      <c r="D224" s="3">
        <v>4.99</v>
      </c>
      <c r="E224" s="7">
        <v>201</v>
      </c>
      <c r="F224" s="7">
        <f t="shared" si="3"/>
        <v>1002.99</v>
      </c>
      <c r="G224" s="3" t="s">
        <v>18</v>
      </c>
      <c r="H224" s="3" t="s">
        <v>37</v>
      </c>
      <c r="I224" s="6" t="s">
        <v>35</v>
      </c>
      <c r="J224" t="s">
        <v>20</v>
      </c>
    </row>
    <row r="225" spans="1:10" ht="15.75" x14ac:dyDescent="0.25">
      <c r="A225" s="3">
        <v>10680</v>
      </c>
      <c r="B225" s="4">
        <v>44918</v>
      </c>
      <c r="C225" t="s">
        <v>21</v>
      </c>
      <c r="D225" s="3">
        <v>12.99</v>
      </c>
      <c r="E225" s="7">
        <v>647</v>
      </c>
      <c r="F225" s="7">
        <f t="shared" si="3"/>
        <v>8404.5300000000007</v>
      </c>
      <c r="G225" s="3" t="s">
        <v>18</v>
      </c>
      <c r="H225" s="3" t="s">
        <v>37</v>
      </c>
      <c r="I225" s="6" t="s">
        <v>35</v>
      </c>
      <c r="J225" t="s">
        <v>20</v>
      </c>
    </row>
    <row r="226" spans="1:10" ht="15.75" x14ac:dyDescent="0.25">
      <c r="A226" s="3">
        <v>10681</v>
      </c>
      <c r="B226" s="4">
        <v>44918</v>
      </c>
      <c r="C226" t="s">
        <v>25</v>
      </c>
      <c r="D226" s="3">
        <v>9.9499999999999993</v>
      </c>
      <c r="E226" s="7">
        <v>242</v>
      </c>
      <c r="F226" s="7">
        <f t="shared" si="3"/>
        <v>2407.8999999999996</v>
      </c>
      <c r="G226" s="3" t="s">
        <v>18</v>
      </c>
      <c r="H226" s="3" t="s">
        <v>37</v>
      </c>
      <c r="I226" s="6" t="s">
        <v>35</v>
      </c>
      <c r="J226" t="s">
        <v>20</v>
      </c>
    </row>
    <row r="227" spans="1:10" ht="15.75" x14ac:dyDescent="0.25">
      <c r="A227" s="3">
        <v>10682</v>
      </c>
      <c r="B227" s="4">
        <v>44918</v>
      </c>
      <c r="C227" t="s">
        <v>9</v>
      </c>
      <c r="D227" s="3">
        <v>3.49</v>
      </c>
      <c r="E227" s="7">
        <v>631</v>
      </c>
      <c r="F227" s="7">
        <f t="shared" si="3"/>
        <v>2202.19</v>
      </c>
      <c r="G227" s="3" t="s">
        <v>18</v>
      </c>
      <c r="H227" s="3" t="s">
        <v>37</v>
      </c>
      <c r="I227" s="6" t="s">
        <v>35</v>
      </c>
      <c r="J227" t="s">
        <v>20</v>
      </c>
    </row>
    <row r="228" spans="1:10" ht="15.75" x14ac:dyDescent="0.25">
      <c r="A228" s="3">
        <v>10683</v>
      </c>
      <c r="B228" s="4">
        <v>44918</v>
      </c>
      <c r="C228" t="s">
        <v>14</v>
      </c>
      <c r="D228" s="3">
        <v>2.95</v>
      </c>
      <c r="E228" s="7">
        <v>678</v>
      </c>
      <c r="F228" s="7">
        <f t="shared" si="3"/>
        <v>2000.1000000000001</v>
      </c>
      <c r="G228" s="3" t="s">
        <v>18</v>
      </c>
      <c r="H228" s="3" t="s">
        <v>37</v>
      </c>
      <c r="I228" s="6" t="s">
        <v>35</v>
      </c>
      <c r="J228" t="s">
        <v>20</v>
      </c>
    </row>
    <row r="229" spans="1:10" ht="15.75" x14ac:dyDescent="0.25">
      <c r="A229" s="3">
        <v>10684</v>
      </c>
      <c r="B229" s="4">
        <v>44918</v>
      </c>
      <c r="C229" t="s">
        <v>17</v>
      </c>
      <c r="D229" s="3">
        <v>4.99</v>
      </c>
      <c r="E229" s="7">
        <v>201</v>
      </c>
      <c r="F229" s="7">
        <f t="shared" si="3"/>
        <v>1002.99</v>
      </c>
      <c r="G229" s="3" t="s">
        <v>18</v>
      </c>
      <c r="H229" s="3" t="s">
        <v>37</v>
      </c>
      <c r="I229" s="6" t="s">
        <v>35</v>
      </c>
      <c r="J229" t="s">
        <v>20</v>
      </c>
    </row>
    <row r="230" spans="1:10" ht="15.75" x14ac:dyDescent="0.25">
      <c r="A230" s="3">
        <v>10685</v>
      </c>
      <c r="B230" s="4">
        <v>44919</v>
      </c>
      <c r="C230" t="s">
        <v>21</v>
      </c>
      <c r="D230" s="3">
        <v>12.99</v>
      </c>
      <c r="E230" s="7">
        <v>678</v>
      </c>
      <c r="F230" s="7">
        <f t="shared" si="3"/>
        <v>8807.2199999999993</v>
      </c>
      <c r="G230" s="3" t="s">
        <v>18</v>
      </c>
      <c r="H230" s="3" t="s">
        <v>37</v>
      </c>
      <c r="I230" s="6" t="s">
        <v>35</v>
      </c>
      <c r="J230" t="s">
        <v>20</v>
      </c>
    </row>
    <row r="231" spans="1:10" ht="15.75" x14ac:dyDescent="0.25">
      <c r="A231" s="3">
        <v>10686</v>
      </c>
      <c r="B231" s="4">
        <v>44919</v>
      </c>
      <c r="C231" t="s">
        <v>25</v>
      </c>
      <c r="D231" s="3">
        <v>9.9499999999999993</v>
      </c>
      <c r="E231" s="7">
        <v>242</v>
      </c>
      <c r="F231" s="7">
        <f t="shared" si="3"/>
        <v>2407.8999999999996</v>
      </c>
      <c r="G231" s="3" t="s">
        <v>18</v>
      </c>
      <c r="H231" s="3" t="s">
        <v>37</v>
      </c>
      <c r="I231" s="6" t="s">
        <v>35</v>
      </c>
      <c r="J231" t="s">
        <v>20</v>
      </c>
    </row>
    <row r="232" spans="1:10" x14ac:dyDescent="0.25">
      <c r="A232" s="3">
        <v>10687</v>
      </c>
      <c r="B232" s="4">
        <v>44919</v>
      </c>
      <c r="C232" t="s">
        <v>9</v>
      </c>
      <c r="D232" s="3">
        <v>3.49</v>
      </c>
      <c r="E232" s="7">
        <v>631</v>
      </c>
      <c r="F232" s="7">
        <f t="shared" si="3"/>
        <v>2202.19</v>
      </c>
      <c r="G232" s="3" t="s">
        <v>18</v>
      </c>
      <c r="H232" s="3" t="s">
        <v>37</v>
      </c>
      <c r="I232" t="s">
        <v>23</v>
      </c>
      <c r="J232" t="s">
        <v>24</v>
      </c>
    </row>
    <row r="233" spans="1:10" x14ac:dyDescent="0.25">
      <c r="A233" s="3">
        <v>10688</v>
      </c>
      <c r="B233" s="4">
        <v>44919</v>
      </c>
      <c r="C233" t="s">
        <v>14</v>
      </c>
      <c r="D233" s="3">
        <v>2.95</v>
      </c>
      <c r="E233" s="7">
        <v>678</v>
      </c>
      <c r="F233" s="7">
        <f t="shared" si="3"/>
        <v>2000.1000000000001</v>
      </c>
      <c r="G233" s="3" t="s">
        <v>18</v>
      </c>
      <c r="H233" s="3" t="s">
        <v>37</v>
      </c>
      <c r="I233" t="s">
        <v>23</v>
      </c>
      <c r="J233" t="s">
        <v>24</v>
      </c>
    </row>
    <row r="234" spans="1:10" x14ac:dyDescent="0.25">
      <c r="A234" s="3">
        <v>10689</v>
      </c>
      <c r="B234" s="4">
        <v>44919</v>
      </c>
      <c r="C234" t="s">
        <v>17</v>
      </c>
      <c r="D234" s="3">
        <v>4.99</v>
      </c>
      <c r="E234" s="7">
        <v>201</v>
      </c>
      <c r="F234" s="7">
        <f t="shared" si="3"/>
        <v>1002.99</v>
      </c>
      <c r="G234" s="3" t="s">
        <v>18</v>
      </c>
      <c r="H234" s="3" t="s">
        <v>37</v>
      </c>
      <c r="I234" t="s">
        <v>23</v>
      </c>
      <c r="J234" t="s">
        <v>24</v>
      </c>
    </row>
    <row r="235" spans="1:10" x14ac:dyDescent="0.25">
      <c r="A235" s="3">
        <v>10690</v>
      </c>
      <c r="B235" s="4">
        <v>44920</v>
      </c>
      <c r="C235" t="s">
        <v>21</v>
      </c>
      <c r="D235" s="3">
        <v>12.99</v>
      </c>
      <c r="E235" s="7">
        <v>678</v>
      </c>
      <c r="F235" s="7">
        <f t="shared" si="3"/>
        <v>8807.2199999999993</v>
      </c>
      <c r="G235" s="3" t="s">
        <v>18</v>
      </c>
      <c r="H235" s="3" t="s">
        <v>37</v>
      </c>
      <c r="I235" t="s">
        <v>23</v>
      </c>
      <c r="J235" t="s">
        <v>24</v>
      </c>
    </row>
    <row r="236" spans="1:10" x14ac:dyDescent="0.25">
      <c r="A236" s="3">
        <v>10691</v>
      </c>
      <c r="B236" s="4">
        <v>44920</v>
      </c>
      <c r="C236" t="s">
        <v>25</v>
      </c>
      <c r="D236" s="3">
        <v>9.9499999999999993</v>
      </c>
      <c r="E236" s="7">
        <v>262</v>
      </c>
      <c r="F236" s="7">
        <f t="shared" si="3"/>
        <v>2606.8999999999996</v>
      </c>
      <c r="G236" s="3" t="s">
        <v>18</v>
      </c>
      <c r="H236" s="3" t="s">
        <v>37</v>
      </c>
      <c r="I236" t="s">
        <v>23</v>
      </c>
      <c r="J236" t="s">
        <v>24</v>
      </c>
    </row>
    <row r="237" spans="1:10" x14ac:dyDescent="0.25">
      <c r="A237" s="3">
        <v>10692</v>
      </c>
      <c r="B237" s="4">
        <v>44920</v>
      </c>
      <c r="C237" t="s">
        <v>9</v>
      </c>
      <c r="D237" s="3">
        <v>3.49</v>
      </c>
      <c r="E237" s="7">
        <v>631</v>
      </c>
      <c r="F237" s="7">
        <f t="shared" si="3"/>
        <v>2202.19</v>
      </c>
      <c r="G237" s="3" t="s">
        <v>18</v>
      </c>
      <c r="H237" s="3" t="s">
        <v>37</v>
      </c>
      <c r="I237" t="s">
        <v>23</v>
      </c>
      <c r="J237" t="s">
        <v>24</v>
      </c>
    </row>
    <row r="238" spans="1:10" x14ac:dyDescent="0.25">
      <c r="A238" s="3">
        <v>10693</v>
      </c>
      <c r="B238" s="4">
        <v>44920</v>
      </c>
      <c r="C238" t="s">
        <v>14</v>
      </c>
      <c r="D238" s="3">
        <v>2.95</v>
      </c>
      <c r="E238" s="7">
        <v>678</v>
      </c>
      <c r="F238" s="7">
        <f t="shared" si="3"/>
        <v>2000.1000000000001</v>
      </c>
      <c r="G238" s="3" t="s">
        <v>18</v>
      </c>
      <c r="H238" s="3" t="s">
        <v>37</v>
      </c>
      <c r="I238" t="s">
        <v>23</v>
      </c>
      <c r="J238" t="s">
        <v>24</v>
      </c>
    </row>
    <row r="239" spans="1:10" x14ac:dyDescent="0.25">
      <c r="A239" s="3">
        <v>10694</v>
      </c>
      <c r="B239" s="4">
        <v>44920</v>
      </c>
      <c r="C239" t="s">
        <v>17</v>
      </c>
      <c r="D239" s="3">
        <v>4.99</v>
      </c>
      <c r="E239" s="7">
        <v>201</v>
      </c>
      <c r="F239" s="7">
        <f t="shared" si="3"/>
        <v>1002.99</v>
      </c>
      <c r="G239" s="3" t="s">
        <v>18</v>
      </c>
      <c r="H239" s="3" t="s">
        <v>37</v>
      </c>
      <c r="I239" t="s">
        <v>23</v>
      </c>
      <c r="J239" t="s">
        <v>24</v>
      </c>
    </row>
    <row r="240" spans="1:10" x14ac:dyDescent="0.25">
      <c r="A240" s="3">
        <v>10695</v>
      </c>
      <c r="B240" s="4">
        <v>44921</v>
      </c>
      <c r="C240" t="s">
        <v>21</v>
      </c>
      <c r="D240" s="3">
        <v>12.99</v>
      </c>
      <c r="E240" s="7">
        <v>693</v>
      </c>
      <c r="F240" s="7">
        <f t="shared" si="3"/>
        <v>9002.07</v>
      </c>
      <c r="G240" s="3" t="s">
        <v>18</v>
      </c>
      <c r="H240" s="3" t="s">
        <v>37</v>
      </c>
      <c r="I240" t="s">
        <v>23</v>
      </c>
      <c r="J240" t="s">
        <v>24</v>
      </c>
    </row>
    <row r="241" spans="1:10" x14ac:dyDescent="0.25">
      <c r="A241" s="3">
        <v>10696</v>
      </c>
      <c r="B241" s="4">
        <v>44921</v>
      </c>
      <c r="C241" t="s">
        <v>25</v>
      </c>
      <c r="D241" s="3">
        <v>9.9499999999999993</v>
      </c>
      <c r="E241" s="7">
        <v>282</v>
      </c>
      <c r="F241" s="7">
        <f t="shared" si="3"/>
        <v>2805.8999999999996</v>
      </c>
      <c r="G241" s="3" t="s">
        <v>18</v>
      </c>
      <c r="H241" s="3" t="s">
        <v>37</v>
      </c>
      <c r="I241" t="s">
        <v>23</v>
      </c>
      <c r="J241" t="s">
        <v>24</v>
      </c>
    </row>
    <row r="242" spans="1:10" x14ac:dyDescent="0.25">
      <c r="A242" s="3">
        <v>10697</v>
      </c>
      <c r="B242" s="4">
        <v>44921</v>
      </c>
      <c r="C242" t="s">
        <v>9</v>
      </c>
      <c r="D242" s="3">
        <v>3.49</v>
      </c>
      <c r="E242" s="7">
        <v>631</v>
      </c>
      <c r="F242" s="7">
        <f t="shared" si="3"/>
        <v>2202.19</v>
      </c>
      <c r="G242" s="3" t="s">
        <v>18</v>
      </c>
      <c r="H242" s="3" t="s">
        <v>37</v>
      </c>
      <c r="I242" t="s">
        <v>23</v>
      </c>
      <c r="J242" t="s">
        <v>24</v>
      </c>
    </row>
    <row r="243" spans="1:10" x14ac:dyDescent="0.25">
      <c r="A243" s="3">
        <v>10698</v>
      </c>
      <c r="B243" s="4">
        <v>44921</v>
      </c>
      <c r="C243" t="s">
        <v>14</v>
      </c>
      <c r="D243" s="3">
        <v>2.95</v>
      </c>
      <c r="E243" s="7">
        <v>678</v>
      </c>
      <c r="F243" s="7">
        <f t="shared" si="3"/>
        <v>2000.1000000000001</v>
      </c>
      <c r="G243" s="3" t="s">
        <v>18</v>
      </c>
      <c r="H243" s="3" t="s">
        <v>37</v>
      </c>
      <c r="I243" t="s">
        <v>23</v>
      </c>
      <c r="J243" t="s">
        <v>24</v>
      </c>
    </row>
    <row r="244" spans="1:10" x14ac:dyDescent="0.25">
      <c r="A244" s="3">
        <v>10699</v>
      </c>
      <c r="B244" s="4">
        <v>44921</v>
      </c>
      <c r="C244" t="s">
        <v>17</v>
      </c>
      <c r="D244" s="3">
        <v>4.99</v>
      </c>
      <c r="E244" s="7">
        <v>201</v>
      </c>
      <c r="F244" s="7">
        <f t="shared" si="3"/>
        <v>1002.99</v>
      </c>
      <c r="G244" s="3" t="s">
        <v>18</v>
      </c>
      <c r="H244" s="3" t="s">
        <v>37</v>
      </c>
      <c r="I244" t="s">
        <v>23</v>
      </c>
      <c r="J244" t="s">
        <v>24</v>
      </c>
    </row>
    <row r="245" spans="1:10" x14ac:dyDescent="0.25">
      <c r="A245" s="3">
        <v>10700</v>
      </c>
      <c r="B245" s="4">
        <v>44922</v>
      </c>
      <c r="C245" t="s">
        <v>21</v>
      </c>
      <c r="D245" s="3">
        <v>12.99</v>
      </c>
      <c r="E245" s="7">
        <v>693</v>
      </c>
      <c r="F245" s="7">
        <f t="shared" si="3"/>
        <v>9002.07</v>
      </c>
      <c r="G245" s="3" t="s">
        <v>18</v>
      </c>
      <c r="H245" s="3" t="s">
        <v>37</v>
      </c>
      <c r="I245" t="s">
        <v>23</v>
      </c>
      <c r="J245" t="s">
        <v>24</v>
      </c>
    </row>
    <row r="246" spans="1:10" x14ac:dyDescent="0.25">
      <c r="A246" s="3">
        <v>10701</v>
      </c>
      <c r="B246" s="4">
        <v>44922</v>
      </c>
      <c r="C246" t="s">
        <v>25</v>
      </c>
      <c r="D246" s="3">
        <v>9.9499999999999993</v>
      </c>
      <c r="E246" s="7">
        <v>282</v>
      </c>
      <c r="F246" s="7">
        <f t="shared" si="3"/>
        <v>2805.8999999999996</v>
      </c>
      <c r="G246" s="3" t="s">
        <v>18</v>
      </c>
      <c r="H246" s="3" t="s">
        <v>37</v>
      </c>
      <c r="I246" t="s">
        <v>23</v>
      </c>
      <c r="J246" t="s">
        <v>24</v>
      </c>
    </row>
    <row r="247" spans="1:10" x14ac:dyDescent="0.25">
      <c r="A247" s="3">
        <v>10702</v>
      </c>
      <c r="B247" s="4">
        <v>44922</v>
      </c>
      <c r="C247" t="s">
        <v>9</v>
      </c>
      <c r="D247" s="3">
        <v>3.49</v>
      </c>
      <c r="E247" s="7">
        <v>631</v>
      </c>
      <c r="F247" s="7">
        <f t="shared" si="3"/>
        <v>2202.19</v>
      </c>
      <c r="G247" s="3" t="s">
        <v>18</v>
      </c>
      <c r="H247" s="3" t="s">
        <v>37</v>
      </c>
      <c r="I247" t="s">
        <v>23</v>
      </c>
      <c r="J247" t="s">
        <v>24</v>
      </c>
    </row>
    <row r="248" spans="1:10" x14ac:dyDescent="0.25">
      <c r="A248" s="3">
        <v>10703</v>
      </c>
      <c r="B248" s="4">
        <v>44922</v>
      </c>
      <c r="C248" t="s">
        <v>14</v>
      </c>
      <c r="D248" s="3">
        <v>2.95</v>
      </c>
      <c r="E248" s="7">
        <v>678</v>
      </c>
      <c r="F248" s="7">
        <f t="shared" si="3"/>
        <v>2000.1000000000001</v>
      </c>
      <c r="G248" s="3" t="s">
        <v>18</v>
      </c>
      <c r="H248" s="3" t="s">
        <v>11</v>
      </c>
      <c r="I248" t="s">
        <v>23</v>
      </c>
      <c r="J248" t="s">
        <v>24</v>
      </c>
    </row>
    <row r="249" spans="1:10" x14ac:dyDescent="0.25">
      <c r="A249" s="3">
        <v>10704</v>
      </c>
      <c r="B249" s="4">
        <v>44922</v>
      </c>
      <c r="C249" t="s">
        <v>17</v>
      </c>
      <c r="D249" s="3">
        <v>4.99</v>
      </c>
      <c r="E249" s="7">
        <v>201</v>
      </c>
      <c r="F249" s="7">
        <f t="shared" si="3"/>
        <v>1002.99</v>
      </c>
      <c r="G249" s="3" t="s">
        <v>36</v>
      </c>
      <c r="H249" s="3" t="s">
        <v>11</v>
      </c>
      <c r="I249" t="s">
        <v>23</v>
      </c>
      <c r="J249" t="s">
        <v>24</v>
      </c>
    </row>
    <row r="250" spans="1:10" x14ac:dyDescent="0.25">
      <c r="A250" s="3">
        <v>10705</v>
      </c>
      <c r="B250" s="4">
        <v>44923</v>
      </c>
      <c r="C250" t="s">
        <v>21</v>
      </c>
      <c r="D250" s="3">
        <v>12.99</v>
      </c>
      <c r="E250" s="7">
        <v>724</v>
      </c>
      <c r="F250" s="7">
        <f t="shared" si="3"/>
        <v>9404.76</v>
      </c>
      <c r="G250" s="3" t="s">
        <v>36</v>
      </c>
      <c r="H250" s="3" t="s">
        <v>11</v>
      </c>
      <c r="I250" t="s">
        <v>23</v>
      </c>
      <c r="J250" t="s">
        <v>24</v>
      </c>
    </row>
    <row r="251" spans="1:10" x14ac:dyDescent="0.25">
      <c r="A251" s="3">
        <v>10706</v>
      </c>
      <c r="B251" s="4">
        <v>44923</v>
      </c>
      <c r="C251" t="s">
        <v>25</v>
      </c>
      <c r="D251" s="3">
        <v>9.9499999999999993</v>
      </c>
      <c r="E251" s="7">
        <v>302</v>
      </c>
      <c r="F251" s="7">
        <f t="shared" si="3"/>
        <v>3004.8999999999996</v>
      </c>
      <c r="G251" s="3" t="s">
        <v>36</v>
      </c>
      <c r="H251" s="3" t="s">
        <v>11</v>
      </c>
      <c r="I251" t="s">
        <v>23</v>
      </c>
      <c r="J251" t="s">
        <v>24</v>
      </c>
    </row>
    <row r="252" spans="1:10" x14ac:dyDescent="0.25">
      <c r="A252" s="3">
        <v>10707</v>
      </c>
      <c r="B252" s="4">
        <v>44923</v>
      </c>
      <c r="C252" t="s">
        <v>9</v>
      </c>
      <c r="D252" s="3">
        <v>3.49</v>
      </c>
      <c r="E252" s="7">
        <v>631</v>
      </c>
      <c r="F252" s="7">
        <f t="shared" si="3"/>
        <v>2202.19</v>
      </c>
      <c r="G252" s="3" t="s">
        <v>36</v>
      </c>
      <c r="H252" s="3" t="s">
        <v>11</v>
      </c>
      <c r="I252" t="s">
        <v>23</v>
      </c>
      <c r="J252" t="s">
        <v>24</v>
      </c>
    </row>
    <row r="253" spans="1:10" x14ac:dyDescent="0.25">
      <c r="A253" s="3">
        <v>10708</v>
      </c>
      <c r="B253" s="4">
        <v>44923</v>
      </c>
      <c r="C253" t="s">
        <v>14</v>
      </c>
      <c r="D253" s="3">
        <v>2.95</v>
      </c>
      <c r="E253" s="7">
        <v>678</v>
      </c>
      <c r="F253" s="7">
        <f t="shared" si="3"/>
        <v>2000.1000000000001</v>
      </c>
      <c r="G253" s="3" t="s">
        <v>36</v>
      </c>
      <c r="H253" s="3" t="s">
        <v>11</v>
      </c>
      <c r="I253" t="s">
        <v>23</v>
      </c>
      <c r="J253" t="s">
        <v>24</v>
      </c>
    </row>
    <row r="254" spans="1:10" x14ac:dyDescent="0.25">
      <c r="A254" s="3">
        <v>10709</v>
      </c>
      <c r="B254" s="4">
        <v>44923</v>
      </c>
      <c r="C254" t="s">
        <v>17</v>
      </c>
      <c r="D254" s="3">
        <v>4.99</v>
      </c>
      <c r="E254" s="7">
        <v>201</v>
      </c>
      <c r="F254" s="7">
        <f t="shared" si="3"/>
        <v>1002.99</v>
      </c>
      <c r="G254" s="3" t="s">
        <v>36</v>
      </c>
      <c r="H254" s="3" t="s">
        <v>11</v>
      </c>
      <c r="I254" t="s">
        <v>23</v>
      </c>
      <c r="J254" t="s">
        <v>24</v>
      </c>
    </row>
    <row r="255" spans="1:10" x14ac:dyDescent="0.25">
      <c r="A255" s="3">
        <v>10710</v>
      </c>
      <c r="B255" s="4">
        <v>44924</v>
      </c>
      <c r="C255" t="s">
        <v>21</v>
      </c>
      <c r="D255" s="3">
        <v>12.99</v>
      </c>
      <c r="E255" s="7">
        <v>755</v>
      </c>
      <c r="F255" s="7">
        <f t="shared" si="3"/>
        <v>9807.4500000000007</v>
      </c>
      <c r="G255" s="3" t="s">
        <v>36</v>
      </c>
      <c r="H255" s="3" t="s">
        <v>11</v>
      </c>
      <c r="I255" t="s">
        <v>23</v>
      </c>
      <c r="J255" t="s">
        <v>24</v>
      </c>
    </row>
    <row r="256" spans="1:10" x14ac:dyDescent="0.25">
      <c r="A256" s="3">
        <v>10711</v>
      </c>
      <c r="B256" s="4">
        <v>44924</v>
      </c>
      <c r="C256" t="s">
        <v>25</v>
      </c>
      <c r="D256" s="3">
        <v>9.9499999999999993</v>
      </c>
      <c r="E256" s="7">
        <v>282</v>
      </c>
      <c r="F256" s="7">
        <f t="shared" si="3"/>
        <v>2805.8999999999996</v>
      </c>
      <c r="G256" s="3" t="s">
        <v>36</v>
      </c>
      <c r="H256" s="3" t="s">
        <v>11</v>
      </c>
      <c r="I256" t="s">
        <v>23</v>
      </c>
      <c r="J256" t="s">
        <v>24</v>
      </c>
    </row>
    <row r="257" spans="1:10" x14ac:dyDescent="0.25">
      <c r="A257" s="3">
        <v>10712</v>
      </c>
      <c r="B257" s="4">
        <v>44924</v>
      </c>
      <c r="C257" t="s">
        <v>9</v>
      </c>
      <c r="D257" s="3">
        <v>3.49</v>
      </c>
      <c r="E257" s="7">
        <v>631</v>
      </c>
      <c r="F257" s="7">
        <f t="shared" si="3"/>
        <v>2202.19</v>
      </c>
      <c r="G257" s="3" t="s">
        <v>36</v>
      </c>
      <c r="H257" s="3" t="s">
        <v>11</v>
      </c>
      <c r="I257" t="s">
        <v>23</v>
      </c>
      <c r="J257" t="s">
        <v>24</v>
      </c>
    </row>
    <row r="258" spans="1:10" x14ac:dyDescent="0.25">
      <c r="A258" s="3">
        <v>10713</v>
      </c>
      <c r="B258" s="4">
        <v>44924</v>
      </c>
      <c r="C258" t="s">
        <v>14</v>
      </c>
      <c r="D258" s="3">
        <v>2.95</v>
      </c>
      <c r="E258" s="7">
        <v>678</v>
      </c>
      <c r="F258" s="7">
        <f t="shared" si="3"/>
        <v>2000.1000000000001</v>
      </c>
      <c r="G258" s="3" t="s">
        <v>36</v>
      </c>
      <c r="H258" s="3" t="s">
        <v>11</v>
      </c>
      <c r="I258" t="s">
        <v>23</v>
      </c>
      <c r="J258" t="s">
        <v>24</v>
      </c>
    </row>
    <row r="259" spans="1:10" x14ac:dyDescent="0.25">
      <c r="E259"/>
      <c r="F259"/>
    </row>
    <row r="260" spans="1:10" x14ac:dyDescent="0.25">
      <c r="E260"/>
      <c r="F260"/>
    </row>
    <row r="261" spans="1:10" x14ac:dyDescent="0.25">
      <c r="E261"/>
      <c r="F261"/>
    </row>
    <row r="262" spans="1:10" x14ac:dyDescent="0.25">
      <c r="E262"/>
      <c r="F262"/>
    </row>
    <row r="263" spans="1:10" x14ac:dyDescent="0.25">
      <c r="E263"/>
      <c r="F263"/>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577A4-47B0-4010-A0E3-25C156E386DC}">
  <dimension ref="A2:I17"/>
  <sheetViews>
    <sheetView workbookViewId="0">
      <selection activeCell="J13" sqref="J13"/>
    </sheetView>
  </sheetViews>
  <sheetFormatPr defaultRowHeight="15" x14ac:dyDescent="0.25"/>
  <cols>
    <col min="1" max="1" width="19.140625" bestFit="1" customWidth="1"/>
    <col min="2" max="2" width="15.5703125" bestFit="1" customWidth="1"/>
    <col min="4" max="4" width="13.140625" bestFit="1" customWidth="1"/>
    <col min="5" max="5" width="15.5703125" bestFit="1" customWidth="1"/>
    <col min="6" max="6" width="13.140625" bestFit="1" customWidth="1"/>
    <col min="7" max="7" width="15.5703125" bestFit="1" customWidth="1"/>
    <col min="9" max="9" width="15.42578125" bestFit="1" customWidth="1"/>
    <col min="10" max="10" width="15.5703125" bestFit="1" customWidth="1"/>
  </cols>
  <sheetData>
    <row r="2" spans="1:9" x14ac:dyDescent="0.25">
      <c r="A2" s="14" t="s">
        <v>53</v>
      </c>
      <c r="B2" s="14"/>
      <c r="C2" s="14"/>
      <c r="D2" s="14"/>
      <c r="E2" s="14"/>
      <c r="F2" s="14"/>
    </row>
    <row r="3" spans="1:9" x14ac:dyDescent="0.25">
      <c r="A3" s="13" t="s">
        <v>54</v>
      </c>
      <c r="B3" s="13"/>
      <c r="C3" s="13"/>
      <c r="D3" s="13"/>
      <c r="E3" s="13"/>
      <c r="F3" s="13"/>
    </row>
    <row r="4" spans="1:9" x14ac:dyDescent="0.25">
      <c r="A4" s="13" t="s">
        <v>55</v>
      </c>
      <c r="B4" s="13"/>
      <c r="C4" s="13"/>
      <c r="D4" s="13"/>
      <c r="E4" s="13"/>
      <c r="F4" s="13"/>
    </row>
    <row r="5" spans="1:9" x14ac:dyDescent="0.25">
      <c r="A5" s="13" t="s">
        <v>56</v>
      </c>
      <c r="B5" s="13"/>
      <c r="C5" s="13"/>
      <c r="D5" s="13"/>
      <c r="E5" s="13"/>
      <c r="F5" s="13"/>
    </row>
    <row r="8" spans="1:9" x14ac:dyDescent="0.25">
      <c r="A8" s="15" t="s">
        <v>57</v>
      </c>
      <c r="B8" t="s">
        <v>59</v>
      </c>
      <c r="D8" t="s">
        <v>59</v>
      </c>
      <c r="F8" s="15" t="s">
        <v>57</v>
      </c>
      <c r="G8" t="s">
        <v>59</v>
      </c>
      <c r="I8" t="s">
        <v>60</v>
      </c>
    </row>
    <row r="9" spans="1:9" x14ac:dyDescent="0.25">
      <c r="A9" s="16" t="s">
        <v>25</v>
      </c>
      <c r="B9" s="9">
        <v>36016.600000000006</v>
      </c>
      <c r="D9" s="9">
        <v>36016.600000000006</v>
      </c>
      <c r="F9" s="16" t="s">
        <v>22</v>
      </c>
      <c r="G9" s="17">
        <v>1</v>
      </c>
      <c r="I9" s="9">
        <v>3232</v>
      </c>
    </row>
    <row r="10" spans="1:9" x14ac:dyDescent="0.25">
      <c r="A10" s="16" t="s">
        <v>58</v>
      </c>
      <c r="B10" s="9">
        <v>36016.600000000006</v>
      </c>
      <c r="F10" s="16" t="s">
        <v>58</v>
      </c>
      <c r="G10" s="17">
        <v>1</v>
      </c>
    </row>
    <row r="15" spans="1:9" x14ac:dyDescent="0.25">
      <c r="D15" s="15" t="s">
        <v>57</v>
      </c>
      <c r="E15" t="s">
        <v>59</v>
      </c>
    </row>
    <row r="16" spans="1:9" x14ac:dyDescent="0.25">
      <c r="D16" s="16" t="s">
        <v>61</v>
      </c>
      <c r="E16" s="9">
        <v>36016.600000000006</v>
      </c>
    </row>
    <row r="17" spans="4:5" x14ac:dyDescent="0.25">
      <c r="D17" s="16" t="s">
        <v>58</v>
      </c>
      <c r="E17" s="9">
        <v>36016.600000000006</v>
      </c>
    </row>
  </sheetData>
  <mergeCells count="4">
    <mergeCell ref="A2:F2"/>
    <mergeCell ref="A3:F3"/>
    <mergeCell ref="A4:F4"/>
    <mergeCell ref="A5:F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46EEF-57DD-4952-9F77-2AD66F093BB3}">
  <dimension ref="A1"/>
  <sheetViews>
    <sheetView tabSelected="1" topLeftCell="A21" workbookViewId="0">
      <selection activeCell="I41" sqref="I4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Cleaned Data</vt:lpstr>
      <vt:lpstr>Pivot 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Ochieng</dc:creator>
  <cp:lastModifiedBy>Gabriel Ochieng</cp:lastModifiedBy>
  <dcterms:created xsi:type="dcterms:W3CDTF">2026-10-11T05:34:56Z</dcterms:created>
  <dcterms:modified xsi:type="dcterms:W3CDTF">2026-10-11T11:25:51Z</dcterms:modified>
</cp:coreProperties>
</file>